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はじめに" sheetId="1" state="visible" r:id="rId3"/>
    <sheet name="ホーム" sheetId="2" state="visible" r:id="rId4"/>
    <sheet name="入力" sheetId="3" state="visible" r:id="rId5"/>
    <sheet name="設定" sheetId="4" state="visible" r:id="rId6"/>
    <sheet name="月別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<sst xmlns="http://schemas.openxmlformats.org/spreadsheetml/2006/main" count="141" uniqueCount="126">
  <si>
    <t xml:space="preserve">♡ ゆるり家計簿｜年間イベント費 積立ノート ♡</t>
  </si>
  <si>
    <t xml:space="preserve">「毎年あるのに、なぜか突然に感じる出費」を、毎月ちょっとずつ積み立てて準備するためのシートです。</t>
  </si>
  <si>
    <r>
      <rPr>
        <b val="true"/>
        <sz val="11"/>
        <color rgb="FF6B2D42"/>
        <rFont val="Noto Sans CJK SC"/>
        <family val="2"/>
      </rPr>
      <t xml:space="preserve">まずはここから（</t>
    </r>
    <r>
      <rPr>
        <b val="true"/>
        <sz val="11"/>
        <color rgb="FF6B2D42"/>
        <rFont val="メイリオ"/>
        <family val="0"/>
        <charset val="1"/>
      </rPr>
      <t xml:space="preserve">3</t>
    </r>
    <r>
      <rPr>
        <b val="true"/>
        <sz val="11"/>
        <color rgb="FF6B2D42"/>
        <rFont val="Noto Sans CJK SC"/>
        <family val="2"/>
      </rPr>
      <t xml:space="preserve">ステップ）</t>
    </r>
  </si>
  <si>
    <t xml:space="preserve">① 設定</t>
  </si>
  <si>
    <r>
      <rPr>
        <sz val="10"/>
        <color rgb="FF4A3F45"/>
        <rFont val="Noto Sans CJK SC"/>
        <family val="2"/>
      </rPr>
      <t xml:space="preserve">「設定」シートで開始年・開始月を入れ、イベント項目と年間予算を自分用に書き換えます。初期値は例なので、そのまま使っても</t>
    </r>
    <r>
      <rPr>
        <sz val="10"/>
        <color rgb="FF4A3F45"/>
        <rFont val="メイリオ"/>
        <family val="0"/>
        <charset val="1"/>
      </rPr>
      <t xml:space="preserve">OK</t>
    </r>
    <r>
      <rPr>
        <sz val="10"/>
        <color rgb="FF4A3F45"/>
        <rFont val="Noto Sans CJK SC"/>
        <family val="2"/>
      </rPr>
      <t xml:space="preserve">です。</t>
    </r>
  </si>
  <si>
    <t xml:space="preserve">② 入力</t>
  </si>
  <si>
    <t xml:space="preserve">「入力」シートに、使った日・項目・金額を入れるだけ。スマホからでも、このシートだけ使えば完了です。</t>
  </si>
  <si>
    <t xml:space="preserve">③ ホーム</t>
  </si>
  <si>
    <t xml:space="preserve">「ホーム」シートで、予算の残りと積立の目安が自動で見られます。ここは触らなくて大丈夫です。</t>
  </si>
  <si>
    <t xml:space="preserve">色のルール</t>
  </si>
  <si>
    <t xml:space="preserve">クリーム色</t>
  </si>
  <si>
    <t xml:space="preserve">入力するところです。</t>
  </si>
  <si>
    <t xml:space="preserve">白・ピンク・ミント</t>
  </si>
  <si>
    <r>
      <rPr>
        <sz val="10"/>
        <color rgb="FF4A3F45"/>
        <rFont val="Noto Sans CJK SC"/>
        <family val="2"/>
      </rPr>
      <t xml:space="preserve">自動で計算されるところです（触らなくて</t>
    </r>
    <r>
      <rPr>
        <sz val="10"/>
        <color rgb="FF4A3F45"/>
        <rFont val="メイリオ"/>
        <family val="0"/>
        <charset val="1"/>
      </rPr>
      <t xml:space="preserve">OK</t>
    </r>
    <r>
      <rPr>
        <sz val="10"/>
        <color rgb="FF4A3F45"/>
        <rFont val="Noto Sans CJK SC"/>
        <family val="2"/>
      </rPr>
      <t xml:space="preserve">）。</t>
    </r>
  </si>
  <si>
    <t xml:space="preserve">シートの説明</t>
  </si>
  <si>
    <t xml:space="preserve">ホーム</t>
  </si>
  <si>
    <t xml:space="preserve">年間予算・使った額・残り・積立残高を、項目ごとに一覧で確認できます。予算オーバーは赤く表示されます。</t>
  </si>
  <si>
    <t xml:space="preserve">入力</t>
  </si>
  <si>
    <t xml:space="preserve">使ったお金を記録します。右端の「チェック」欄が、未入力・期間外・項目名の違いを教えてくれます。</t>
  </si>
  <si>
    <t xml:space="preserve">設定</t>
  </si>
  <si>
    <t xml:space="preserve">開始年・開始月、イベント項目、年間予算、支払予定月、最初から貯めてある額を決めます。</t>
  </si>
  <si>
    <t xml:space="preserve">月別</t>
  </si>
  <si>
    <t xml:space="preserve">月ごとの実績・支払い予定・積立残高の推移を見られます。</t>
  </si>
  <si>
    <t xml:space="preserve">積立額の考え方</t>
  </si>
  <si>
    <t xml:space="preserve">計算式</t>
  </si>
  <si>
    <r>
      <rPr>
        <sz val="10"/>
        <color rgb="FF4A3F45"/>
        <rFont val="Noto Sans CJK SC"/>
        <family val="2"/>
      </rPr>
      <t xml:space="preserve">毎月の積立＝年間予算</t>
    </r>
    <r>
      <rPr>
        <sz val="10"/>
        <color rgb="FF4A3F45"/>
        <rFont val="メイリオ"/>
        <family val="0"/>
        <charset val="1"/>
      </rPr>
      <t xml:space="preserve">÷12</t>
    </r>
    <r>
      <rPr>
        <sz val="10"/>
        <color rgb="FF4A3F45"/>
        <rFont val="Noto Sans CJK SC"/>
        <family val="2"/>
      </rPr>
      <t xml:space="preserve">（切り上げ）／積立残高＝最初から貯めてある額＋毎月の積立</t>
    </r>
    <r>
      <rPr>
        <sz val="10"/>
        <color rgb="FF4A3F45"/>
        <rFont val="メイリオ"/>
        <family val="0"/>
        <charset val="1"/>
      </rPr>
      <t xml:space="preserve">×</t>
    </r>
    <r>
      <rPr>
        <sz val="10"/>
        <color rgb="FF4A3F45"/>
        <rFont val="Noto Sans CJK SC"/>
        <family val="2"/>
      </rPr>
      <t xml:space="preserve">経過月数－使った額。実際に口座を分ける必要はなく、「いくら取り分けておくと安心か」の目安として使います。</t>
    </r>
  </si>
  <si>
    <r>
      <rPr>
        <b val="true"/>
        <sz val="11"/>
        <color rgb="FF6B2D42"/>
        <rFont val="Noto Sans CJK SC"/>
        <family val="2"/>
      </rPr>
      <t xml:space="preserve">スマホ・</t>
    </r>
    <r>
      <rPr>
        <b val="true"/>
        <sz val="11"/>
        <color rgb="FF6B2D42"/>
        <rFont val="メイリオ"/>
        <family val="0"/>
        <charset val="1"/>
      </rPr>
      <t xml:space="preserve">iPad</t>
    </r>
    <r>
      <rPr>
        <b val="true"/>
        <sz val="11"/>
        <color rgb="FF6B2D42"/>
        <rFont val="Noto Sans CJK SC"/>
        <family val="2"/>
      </rPr>
      <t xml:space="preserve">で使うとき</t>
    </r>
  </si>
  <si>
    <t xml:space="preserve">おすすめの方法</t>
  </si>
  <si>
    <r>
      <rPr>
        <sz val="10"/>
        <color rgb="FF4A3F45"/>
        <rFont val="Noto Sans CJK SC"/>
        <family val="2"/>
      </rPr>
      <t xml:space="preserve">無料の「</t>
    </r>
    <r>
      <rPr>
        <sz val="10"/>
        <color rgb="FF4A3F45"/>
        <rFont val="メイリオ"/>
        <family val="0"/>
        <charset val="1"/>
      </rPr>
      <t xml:space="preserve">Google</t>
    </r>
    <r>
      <rPr>
        <sz val="10"/>
        <color rgb="FF4A3F45"/>
        <rFont val="Noto Sans CJK SC"/>
        <family val="2"/>
      </rPr>
      <t xml:space="preserve">スプレッドシート」アプリが、</t>
    </r>
    <r>
      <rPr>
        <sz val="10"/>
        <color rgb="FF4A3F45"/>
        <rFont val="メイリオ"/>
        <family val="0"/>
        <charset val="1"/>
      </rPr>
      <t xml:space="preserve">iPhone</t>
    </r>
    <r>
      <rPr>
        <sz val="10"/>
        <color rgb="FF4A3F45"/>
        <rFont val="Noto Sans CJK SC"/>
        <family val="2"/>
      </rPr>
      <t xml:space="preserve">・</t>
    </r>
    <r>
      <rPr>
        <sz val="10"/>
        <color rgb="FF4A3F45"/>
        <rFont val="メイリオ"/>
        <family val="0"/>
        <charset val="1"/>
      </rPr>
      <t xml:space="preserve">Android</t>
    </r>
    <r>
      <rPr>
        <sz val="10"/>
        <color rgb="FF4A3F45"/>
        <rFont val="Noto Sans CJK SC"/>
        <family val="2"/>
      </rPr>
      <t xml:space="preserve">・</t>
    </r>
    <r>
      <rPr>
        <sz val="10"/>
        <color rgb="FF4A3F45"/>
        <rFont val="メイリオ"/>
        <family val="0"/>
        <charset val="1"/>
      </rPr>
      <t xml:space="preserve">iPad</t>
    </r>
    <r>
      <rPr>
        <sz val="10"/>
        <color rgb="FF4A3F45"/>
        <rFont val="Noto Sans CJK SC"/>
        <family val="2"/>
      </rPr>
      <t xml:space="preserve">のどれでも使えておすすめです。日々の入力は「入力」タブだけで完了します。</t>
    </r>
  </si>
  <si>
    <r>
      <rPr>
        <b val="true"/>
        <sz val="10"/>
        <color rgb="FF6B2D42"/>
        <rFont val="Noto Sans CJK SC"/>
        <family val="2"/>
      </rPr>
      <t xml:space="preserve">最初の準備（パソコンで</t>
    </r>
    <r>
      <rPr>
        <b val="true"/>
        <sz val="10"/>
        <color rgb="FF6B2D42"/>
        <rFont val="メイリオ"/>
        <family val="0"/>
        <charset val="1"/>
      </rPr>
      <t xml:space="preserve">1</t>
    </r>
    <r>
      <rPr>
        <b val="true"/>
        <sz val="10"/>
        <color rgb="FF6B2D42"/>
        <rFont val="Noto Sans CJK SC"/>
        <family val="2"/>
      </rPr>
      <t xml:space="preserve">回だけ）</t>
    </r>
  </si>
  <si>
    <r>
      <rPr>
        <sz val="10"/>
        <color rgb="FF4A3F45"/>
        <rFont val="メイリオ"/>
        <family val="0"/>
        <charset val="1"/>
      </rPr>
      <t xml:space="preserve">① Google</t>
    </r>
    <r>
      <rPr>
        <sz val="10"/>
        <color rgb="FF4A3F45"/>
        <rFont val="Noto Sans CJK SC"/>
        <family val="2"/>
      </rPr>
      <t xml:space="preserve">ドライブにこのファイルをアップロードします。② ファイルを右クリックして「アプリで開く」→「</t>
    </r>
    <r>
      <rPr>
        <sz val="10"/>
        <color rgb="FF4A3F45"/>
        <rFont val="メイリオ"/>
        <family val="0"/>
        <charset val="1"/>
      </rPr>
      <t xml:space="preserve">Google</t>
    </r>
    <r>
      <rPr>
        <sz val="10"/>
        <color rgb="FF4A3F45"/>
        <rFont val="Noto Sans CJK SC"/>
        <family val="2"/>
      </rPr>
      <t xml:space="preserve">スプレッドシート」を選びます。③ 「ファイル」→「</t>
    </r>
    <r>
      <rPr>
        <sz val="10"/>
        <color rgb="FF4A3F45"/>
        <rFont val="メイリオ"/>
        <family val="0"/>
        <charset val="1"/>
      </rPr>
      <t xml:space="preserve">Google</t>
    </r>
    <r>
      <rPr>
        <sz val="10"/>
        <color rgb="FF4A3F45"/>
        <rFont val="Noto Sans CJK SC"/>
        <family val="2"/>
      </rPr>
      <t xml:space="preserve">スプレッドシートとして保存」を選びます。これで</t>
    </r>
    <r>
      <rPr>
        <sz val="10"/>
        <color rgb="FF4A3F45"/>
        <rFont val="メイリオ"/>
        <family val="0"/>
        <charset val="1"/>
      </rPr>
      <t xml:space="preserve">Excel</t>
    </r>
    <r>
      <rPr>
        <sz val="10"/>
        <color rgb="FF4A3F45"/>
        <rFont val="Noto Sans CJK SC"/>
        <family val="2"/>
      </rPr>
      <t xml:space="preserve">形式ではなく、スプレッドシートとして使えます。</t>
    </r>
  </si>
  <si>
    <r>
      <rPr>
        <b val="true"/>
        <sz val="10"/>
        <color rgb="FF6B2D42"/>
        <rFont val="Noto Sans CJK SC"/>
        <family val="2"/>
      </rPr>
      <t xml:space="preserve">スマホ・</t>
    </r>
    <r>
      <rPr>
        <b val="true"/>
        <sz val="10"/>
        <color rgb="FF6B2D42"/>
        <rFont val="メイリオ"/>
        <family val="0"/>
        <charset val="1"/>
      </rPr>
      <t xml:space="preserve">iPad</t>
    </r>
    <r>
      <rPr>
        <b val="true"/>
        <sz val="10"/>
        <color rgb="FF6B2D42"/>
        <rFont val="Noto Sans CJK SC"/>
        <family val="2"/>
      </rPr>
      <t xml:space="preserve">での使い方</t>
    </r>
  </si>
  <si>
    <r>
      <rPr>
        <sz val="10"/>
        <color rgb="FF4A3F45"/>
        <rFont val="Noto Sans CJK SC"/>
        <family val="2"/>
      </rPr>
      <t xml:space="preserve">① アプリ「</t>
    </r>
    <r>
      <rPr>
        <sz val="10"/>
        <color rgb="FF4A3F45"/>
        <rFont val="メイリオ"/>
        <family val="0"/>
        <charset val="1"/>
      </rPr>
      <t xml:space="preserve">Google</t>
    </r>
    <r>
      <rPr>
        <sz val="10"/>
        <color rgb="FF4A3F45"/>
        <rFont val="Noto Sans CJK SC"/>
        <family val="2"/>
      </rPr>
      <t xml:space="preserve">スプレッドシート」を入れ、同じ</t>
    </r>
    <r>
      <rPr>
        <sz val="10"/>
        <color rgb="FF4A3F45"/>
        <rFont val="メイリオ"/>
        <family val="0"/>
        <charset val="1"/>
      </rPr>
      <t xml:space="preserve">Google</t>
    </r>
    <r>
      <rPr>
        <sz val="10"/>
        <color rgb="FF4A3F45"/>
        <rFont val="Noto Sans CJK SC"/>
        <family val="2"/>
      </rPr>
      <t xml:space="preserve">アカウントでログインします。② 変換したファイルを開き、下の「入力」タブを選びます。③ 空いている行に、日付・項目・金額を入れます（項目はリストから選べます）。④ 「ホーム」タブで、残りの予算と積立残高を確認します。</t>
    </r>
  </si>
  <si>
    <t xml:space="preserve">使いやすくするコツ</t>
  </si>
  <si>
    <r>
      <rPr>
        <sz val="10"/>
        <color rgb="FF4A3F45"/>
        <rFont val="Noto Sans CJK SC"/>
        <family val="2"/>
      </rPr>
      <t xml:space="preserve">・日付は「</t>
    </r>
    <r>
      <rPr>
        <sz val="10"/>
        <color rgb="FF4A3F45"/>
        <rFont val="メイリオ"/>
        <family val="0"/>
        <charset val="1"/>
      </rPr>
      <t xml:space="preserve">2026/9/29</t>
    </r>
    <r>
      <rPr>
        <sz val="10"/>
        <color rgb="FF4A3F45"/>
        <rFont val="Noto Sans CJK SC"/>
        <family val="2"/>
      </rPr>
      <t xml:space="preserve">」のように、年から入れると確実です。・「ホーム」と「月別」は幅が広いので、画面を横向きにすると見やすくなります。・アプリの「オフラインで使用可能にする」をオンにすると、電波が弱い場所でも入力できます。・ホーム画面にショートカットを置くと、すぐ開けます。</t>
    </r>
  </si>
  <si>
    <r>
      <rPr>
        <b val="true"/>
        <sz val="10"/>
        <color rgb="FF6B2D42"/>
        <rFont val="メイリオ"/>
        <family val="0"/>
        <charset val="1"/>
      </rPr>
      <t xml:space="preserve">Excel</t>
    </r>
    <r>
      <rPr>
        <b val="true"/>
        <sz val="10"/>
        <color rgb="FF6B2D42"/>
        <rFont val="Noto Sans CJK SC"/>
        <family val="2"/>
      </rPr>
      <t xml:space="preserve">アプリの場合</t>
    </r>
  </si>
  <si>
    <r>
      <rPr>
        <sz val="10"/>
        <color rgb="FF4A3F45"/>
        <rFont val="メイリオ"/>
        <family val="0"/>
        <charset val="1"/>
      </rPr>
      <t xml:space="preserve">Microsoft Excel</t>
    </r>
    <r>
      <rPr>
        <sz val="10"/>
        <color rgb="FF4A3F45"/>
        <rFont val="Noto Sans CJK SC"/>
        <family val="2"/>
      </rPr>
      <t xml:space="preserve">アプリでも</t>
    </r>
    <r>
      <rPr>
        <sz val="10"/>
        <color rgb="FF4A3F45"/>
        <rFont val="メイリオ"/>
        <family val="0"/>
        <charset val="1"/>
      </rPr>
      <t xml:space="preserve">Excel</t>
    </r>
    <r>
      <rPr>
        <sz val="10"/>
        <color rgb="FF4A3F45"/>
        <rFont val="Noto Sans CJK SC"/>
        <family val="2"/>
      </rPr>
      <t xml:space="preserve">ファイルのまま開けます。画面サイズやアカウントによっては、編集に有料プランが必要な場合があります。</t>
    </r>
  </si>
  <si>
    <r>
      <rPr>
        <b val="true"/>
        <sz val="10"/>
        <color rgb="FF6B2D42"/>
        <rFont val="メイリオ"/>
        <family val="0"/>
        <charset val="1"/>
      </rPr>
      <t xml:space="preserve">iPad</t>
    </r>
    <r>
      <rPr>
        <b val="true"/>
        <sz val="10"/>
        <color rgb="FF6B2D42"/>
        <rFont val="Noto Sans CJK SC"/>
        <family val="2"/>
      </rPr>
      <t xml:space="preserve">標準の</t>
    </r>
    <r>
      <rPr>
        <b val="true"/>
        <sz val="10"/>
        <color rgb="FF6B2D42"/>
        <rFont val="メイリオ"/>
        <family val="0"/>
        <charset val="1"/>
      </rPr>
      <t xml:space="preserve">Numbers</t>
    </r>
  </si>
  <si>
    <r>
      <rPr>
        <sz val="10"/>
        <color rgb="FF4A3F45"/>
        <rFont val="Noto Sans CJK SC"/>
        <family val="2"/>
      </rPr>
      <t xml:space="preserve">表示や動作を保証できないため、おすすめしません。</t>
    </r>
    <r>
      <rPr>
        <sz val="10"/>
        <color rgb="FF4A3F45"/>
        <rFont val="メイリオ"/>
        <family val="0"/>
        <charset val="1"/>
      </rPr>
      <t xml:space="preserve">Google</t>
    </r>
    <r>
      <rPr>
        <sz val="10"/>
        <color rgb="FF4A3F45"/>
        <rFont val="Noto Sans CJK SC"/>
        <family val="2"/>
      </rPr>
      <t xml:space="preserve">スプレッドシートをご利用ください。</t>
    </r>
  </si>
  <si>
    <t xml:space="preserve">うまく動かないとき</t>
  </si>
  <si>
    <r>
      <rPr>
        <sz val="10"/>
        <color rgb="FF4A3F45"/>
        <rFont val="Noto Sans CJK SC"/>
        <family val="2"/>
      </rPr>
      <t xml:space="preserve">「</t>
    </r>
    <r>
      <rPr>
        <sz val="10"/>
        <color rgb="FF4A3F45"/>
        <rFont val="メイリオ"/>
        <family val="0"/>
        <charset val="1"/>
      </rPr>
      <t xml:space="preserve">Google</t>
    </r>
    <r>
      <rPr>
        <sz val="10"/>
        <color rgb="FF4A3F45"/>
        <rFont val="Noto Sans CJK SC"/>
        <family val="2"/>
      </rPr>
      <t xml:space="preserve">スプレッドシートとして保存」できているか（</t>
    </r>
    <r>
      <rPr>
        <sz val="10"/>
        <color rgb="FF4A3F45"/>
        <rFont val="メイリオ"/>
        <family val="0"/>
        <charset val="1"/>
      </rPr>
      <t xml:space="preserve">Excel</t>
    </r>
    <r>
      <rPr>
        <sz val="10"/>
        <color rgb="FF4A3F45"/>
        <rFont val="Noto Sans CJK SC"/>
        <family val="2"/>
      </rPr>
      <t xml:space="preserve">形式のままだと崩れる場合があります）、入力シートの日付が設定した期間内か、項目がリストの名前と一致しているかをご確認ください。</t>
    </r>
  </si>
  <si>
    <t xml:space="preserve">よくある質問</t>
  </si>
  <si>
    <t xml:space="preserve">行が足りなくなったら？</t>
  </si>
  <si>
    <r>
      <rPr>
        <sz val="10"/>
        <color rgb="FF4A3F45"/>
        <rFont val="Noto Sans CJK SC"/>
        <family val="2"/>
      </rPr>
      <t xml:space="preserve">「入力」シートは</t>
    </r>
    <r>
      <rPr>
        <sz val="10"/>
        <color rgb="FF4A3F45"/>
        <rFont val="メイリオ"/>
        <family val="0"/>
        <charset val="1"/>
      </rPr>
      <t xml:space="preserve">1,000</t>
    </r>
    <r>
      <rPr>
        <sz val="10"/>
        <color rgb="FF4A3F45"/>
        <rFont val="Noto Sans CJK SC"/>
        <family val="2"/>
      </rPr>
      <t xml:space="preserve">行分があらかじめ集計の対象です。それでも足りないときは、データの途中に行を挿入すると集計範囲も自動で広がります。</t>
    </r>
  </si>
  <si>
    <t xml:space="preserve">並べ替えても大丈夫？</t>
  </si>
  <si>
    <t xml:space="preserve">大丈夫です。集計は行の位置ではなく「日付」と「項目」の条件で行うため、並べ替え・行の挿入・削除をしても崩れません。</t>
  </si>
  <si>
    <t xml:space="preserve">項目名を変えたら？</t>
  </si>
  <si>
    <t xml:space="preserve">設定シートの項目名を変えたときは、入力シート側の同じ名前も直してください（名前が一致した行だけ集計されます）。「検索と置換」が便利です。一致しない行は「⚠項目不明」と表示されます。</t>
  </si>
  <si>
    <t xml:space="preserve">来年も使えますか？</t>
  </si>
  <si>
    <t xml:space="preserve">ファイルをコピーして「開始年」を変え、入力シートの日付・項目・金額・メモを消去してください（チェック欄の式は残します）。余った積立は「最初から貯めてある額」に入れると引き継げます。</t>
  </si>
  <si>
    <r>
      <rPr>
        <b val="true"/>
        <sz val="10"/>
        <color rgb="FF6B2D42"/>
        <rFont val="Noto Sans CJK SC"/>
        <family val="2"/>
      </rPr>
      <t xml:space="preserve">何月始まりでも</t>
    </r>
    <r>
      <rPr>
        <b val="true"/>
        <sz val="10"/>
        <color rgb="FF6B2D42"/>
        <rFont val="メイリオ"/>
        <family val="0"/>
        <charset val="1"/>
      </rPr>
      <t xml:space="preserve">OK</t>
    </r>
    <r>
      <rPr>
        <b val="true"/>
        <sz val="10"/>
        <color rgb="FF6B2D42"/>
        <rFont val="Noto Sans CJK SC"/>
        <family val="2"/>
      </rPr>
      <t xml:space="preserve">？</t>
    </r>
  </si>
  <si>
    <r>
      <rPr>
        <sz val="10"/>
        <color rgb="FF4A3F45"/>
        <rFont val="Noto Sans CJK SC"/>
        <family val="2"/>
      </rPr>
      <t xml:space="preserve">はい。設定シートの開始月を変えるだけで、</t>
    </r>
    <r>
      <rPr>
        <sz val="10"/>
        <color rgb="FF4A3F45"/>
        <rFont val="メイリオ"/>
        <family val="0"/>
        <charset val="1"/>
      </rPr>
      <t xml:space="preserve">4</t>
    </r>
    <r>
      <rPr>
        <sz val="10"/>
        <color rgb="FF4A3F45"/>
        <rFont val="Noto Sans CJK SC"/>
        <family val="2"/>
      </rPr>
      <t xml:space="preserve">月始まりなども自由に設定できます。</t>
    </r>
  </si>
  <si>
    <r>
      <rPr>
        <b val="true"/>
        <sz val="10"/>
        <color rgb="FF6B2D42"/>
        <rFont val="メイリオ"/>
        <family val="0"/>
        <charset val="1"/>
      </rPr>
      <t xml:space="preserve">Excel</t>
    </r>
    <r>
      <rPr>
        <b val="true"/>
        <sz val="10"/>
        <color rgb="FF6B2D42"/>
        <rFont val="Noto Sans CJK SC"/>
        <family val="2"/>
      </rPr>
      <t xml:space="preserve">／</t>
    </r>
    <r>
      <rPr>
        <b val="true"/>
        <sz val="10"/>
        <color rgb="FF6B2D42"/>
        <rFont val="メイリオ"/>
        <family val="0"/>
        <charset val="1"/>
      </rPr>
      <t xml:space="preserve">Google</t>
    </r>
    <r>
      <rPr>
        <b val="true"/>
        <sz val="10"/>
        <color rgb="FF6B2D42"/>
        <rFont val="Noto Sans CJK SC"/>
        <family val="2"/>
      </rPr>
      <t xml:space="preserve">スプレッドシート</t>
    </r>
  </si>
  <si>
    <r>
      <rPr>
        <sz val="10"/>
        <color rgb="FF4A3F45"/>
        <rFont val="Noto Sans CJK SC"/>
        <family val="2"/>
      </rPr>
      <t xml:space="preserve">どちらでも使えるよう、基本的な関数だけで作っています。</t>
    </r>
    <r>
      <rPr>
        <sz val="10"/>
        <color rgb="FF4A3F45"/>
        <rFont val="メイリオ"/>
        <family val="0"/>
        <charset val="1"/>
      </rPr>
      <t xml:space="preserve">Google</t>
    </r>
    <r>
      <rPr>
        <sz val="10"/>
        <color rgb="FF4A3F45"/>
        <rFont val="Noto Sans CJK SC"/>
        <family val="2"/>
      </rPr>
      <t xml:space="preserve">スプレッドシートで使う場合は、</t>
    </r>
    <r>
      <rPr>
        <sz val="10"/>
        <color rgb="FF4A3F45"/>
        <rFont val="メイリオ"/>
        <family val="0"/>
        <charset val="1"/>
      </rPr>
      <t xml:space="preserve">Google</t>
    </r>
    <r>
      <rPr>
        <sz val="10"/>
        <color rgb="FF4A3F45"/>
        <rFont val="Noto Sans CJK SC"/>
        <family val="2"/>
      </rPr>
      <t xml:space="preserve">ドライブにアップロードして、右クリックから「</t>
    </r>
    <r>
      <rPr>
        <sz val="10"/>
        <color rgb="FF4A3F45"/>
        <rFont val="メイリオ"/>
        <family val="0"/>
        <charset val="1"/>
      </rPr>
      <t xml:space="preserve">Google</t>
    </r>
    <r>
      <rPr>
        <sz val="10"/>
        <color rgb="FF4A3F45"/>
        <rFont val="Noto Sans CJK SC"/>
        <family val="2"/>
      </rPr>
      <t xml:space="preserve">スプレッドシートで開く」を選んでください。</t>
    </r>
  </si>
  <si>
    <t xml:space="preserve">シートを誤って壊したくない</t>
  </si>
  <si>
    <r>
      <rPr>
        <sz val="10"/>
        <color rgb="FF4A3F45"/>
        <rFont val="Noto Sans CJK SC"/>
        <family val="2"/>
      </rPr>
      <t xml:space="preserve">ホーム・月別・設定は、計算式のセルを保護しています（パスワードなし）。解除したいときは、</t>
    </r>
    <r>
      <rPr>
        <sz val="10"/>
        <color rgb="FF4A3F45"/>
        <rFont val="メイリオ"/>
        <family val="0"/>
        <charset val="1"/>
      </rPr>
      <t xml:space="preserve">Excel</t>
    </r>
    <r>
      <rPr>
        <sz val="10"/>
        <color rgb="FF4A3F45"/>
        <rFont val="Noto Sans CJK SC"/>
        <family val="2"/>
      </rPr>
      <t xml:space="preserve">は「校閲」→「シート保護の解除」、</t>
    </r>
    <r>
      <rPr>
        <sz val="10"/>
        <color rgb="FF4A3F45"/>
        <rFont val="メイリオ"/>
        <family val="0"/>
        <charset val="1"/>
      </rPr>
      <t xml:space="preserve">Google</t>
    </r>
    <r>
      <rPr>
        <sz val="10"/>
        <color rgb="FF4A3F45"/>
        <rFont val="Noto Sans CJK SC"/>
        <family val="2"/>
      </rPr>
      <t xml:space="preserve">スプレッドシートは保護の設定から外せます。</t>
    </r>
  </si>
  <si>
    <t xml:space="preserve">ご利用にあたって</t>
  </si>
  <si>
    <t xml:space="preserve">個人利用</t>
  </si>
  <si>
    <t xml:space="preserve">個人利用に限ります。再配布・転売・無料公開はお控えください。ご自身用に色や項目を変えるのは自由です。</t>
  </si>
  <si>
    <t xml:space="preserve">返品・返金</t>
  </si>
  <si>
    <t xml:space="preserve">デジタル商品のため、購入後の返品・返金には対応できません。</t>
  </si>
  <si>
    <t xml:space="preserve">販売元</t>
  </si>
  <si>
    <r>
      <rPr>
        <sz val="10"/>
        <color rgb="FF4A3F45"/>
        <rFont val="Noto Sans CJK SC"/>
        <family val="2"/>
      </rPr>
      <t xml:space="preserve">株式会社</t>
    </r>
    <r>
      <rPr>
        <sz val="10"/>
        <color rgb="FF4A3F45"/>
        <rFont val="メイリオ"/>
        <family val="0"/>
        <charset val="1"/>
      </rPr>
      <t xml:space="preserve">PRIAMOS</t>
    </r>
    <r>
      <rPr>
        <sz val="10"/>
        <color rgb="FF4A3F45"/>
        <rFont val="Noto Sans CJK SC"/>
        <family val="2"/>
      </rPr>
      <t xml:space="preserve">（ブランド：ゆるり家計簿）　</t>
    </r>
    <r>
      <rPr>
        <sz val="10"/>
        <color rgb="FF4A3F45"/>
        <rFont val="メイリオ"/>
        <family val="0"/>
        <charset val="1"/>
      </rPr>
      <t xml:space="preserve">© </t>
    </r>
    <r>
      <rPr>
        <sz val="10"/>
        <color rgb="FF4A3F45"/>
        <rFont val="Noto Sans CJK SC"/>
        <family val="2"/>
      </rPr>
      <t xml:space="preserve">株式会社</t>
    </r>
    <r>
      <rPr>
        <sz val="10"/>
        <color rgb="FF4A3F45"/>
        <rFont val="メイリオ"/>
        <family val="0"/>
        <charset val="1"/>
      </rPr>
      <t xml:space="preserve">PRIAMOS</t>
    </r>
    <r>
      <rPr>
        <sz val="10"/>
        <color rgb="FF4A3F45"/>
        <rFont val="Noto Sans CJK SC"/>
        <family val="2"/>
      </rPr>
      <t xml:space="preserve">　</t>
    </r>
    <r>
      <rPr>
        <sz val="10"/>
        <color rgb="FF4A3F45"/>
        <rFont val="メイリオ"/>
        <family val="0"/>
        <charset val="1"/>
      </rPr>
      <t xml:space="preserve">All rights reserved.</t>
    </r>
  </si>
  <si>
    <t xml:space="preserve">年間予算の合計</t>
  </si>
  <si>
    <t xml:space="preserve">ここまでに使った額</t>
  </si>
  <si>
    <t xml:space="preserve">残りの予算</t>
  </si>
  <si>
    <t xml:space="preserve">毎月の積立目安</t>
  </si>
  <si>
    <t xml:space="preserve">いまの積立残高（目安）</t>
  </si>
  <si>
    <t xml:space="preserve">入力チェック</t>
  </si>
  <si>
    <t xml:space="preserve">項目</t>
  </si>
  <si>
    <t xml:space="preserve">年間予算</t>
  </si>
  <si>
    <t xml:space="preserve">使った額</t>
  </si>
  <si>
    <t xml:space="preserve">残り</t>
  </si>
  <si>
    <t xml:space="preserve">使用状況</t>
  </si>
  <si>
    <t xml:space="preserve">毎月の積立</t>
  </si>
  <si>
    <t xml:space="preserve">積立残高</t>
  </si>
  <si>
    <t xml:space="preserve">合計</t>
  </si>
  <si>
    <r>
      <rPr>
        <sz val="9"/>
        <color rgb="FF8A8188"/>
        <rFont val="Noto Sans CJK SC"/>
        <family val="2"/>
      </rPr>
      <t xml:space="preserve">積立の考え方：毎月の積立＝年間予算</t>
    </r>
    <r>
      <rPr>
        <sz val="9"/>
        <color rgb="FF8A8188"/>
        <rFont val="メイリオ"/>
        <family val="0"/>
        <charset val="1"/>
      </rPr>
      <t xml:space="preserve">÷12</t>
    </r>
    <r>
      <rPr>
        <sz val="9"/>
        <color rgb="FF8A8188"/>
        <rFont val="Noto Sans CJK SC"/>
        <family val="2"/>
      </rPr>
      <t xml:space="preserve">（切り上げ）／積立残高＝最初から貯めてある額＋毎月の積立</t>
    </r>
    <r>
      <rPr>
        <sz val="9"/>
        <color rgb="FF8A8188"/>
        <rFont val="メイリオ"/>
        <family val="0"/>
        <charset val="1"/>
      </rPr>
      <t xml:space="preserve">×</t>
    </r>
    <r>
      <rPr>
        <sz val="9"/>
        <color rgb="FF8A8188"/>
        <rFont val="Noto Sans CJK SC"/>
        <family val="2"/>
      </rPr>
      <t xml:space="preserve">経過月数－使った額。実際に口座を分ける必要はなく、取り分けの目安です。</t>
    </r>
  </si>
  <si>
    <t xml:space="preserve">入力（使ったお金を記録）</t>
  </si>
  <si>
    <r>
      <rPr>
        <sz val="9"/>
        <color rgb="FF8A8188"/>
        <rFont val="Noto Sans CJK SC"/>
        <family val="2"/>
      </rPr>
      <t xml:space="preserve">日付・項目・金額の</t>
    </r>
    <r>
      <rPr>
        <sz val="9"/>
        <color rgb="FF8A8188"/>
        <rFont val="メイリオ"/>
        <family val="0"/>
        <charset val="1"/>
      </rPr>
      <t xml:space="preserve">3</t>
    </r>
    <r>
      <rPr>
        <sz val="9"/>
        <color rgb="FF8A8188"/>
        <rFont val="Noto Sans CJK SC"/>
        <family val="2"/>
      </rPr>
      <t xml:space="preserve">つを入れるだけ。メモは自由です。右端の「チェック」に⚠が出たら見直してください。</t>
    </r>
  </si>
  <si>
    <t xml:space="preserve">日付</t>
  </si>
  <si>
    <t xml:space="preserve">金額（円）</t>
  </si>
  <si>
    <t xml:space="preserve">メモ</t>
  </si>
  <si>
    <t xml:space="preserve">チェック</t>
  </si>
  <si>
    <t xml:space="preserve">帰省・旅行</t>
  </si>
  <si>
    <t xml:space="preserve">新幹線代</t>
  </si>
  <si>
    <t xml:space="preserve">← 記入例（集計されません）</t>
  </si>
  <si>
    <t xml:space="preserve">設定（最初にここだけ入力します）</t>
  </si>
  <si>
    <r>
      <rPr>
        <sz val="9"/>
        <color rgb="FF8A8188"/>
        <rFont val="Noto Sans CJK SC"/>
        <family val="2"/>
      </rPr>
      <t xml:space="preserve">クリーム色のセルだけ入力してください。初期値は「例」なので、ご自身の暮らしに合わせて自由に書き換えて</t>
    </r>
    <r>
      <rPr>
        <sz val="9"/>
        <color rgb="FF8A8188"/>
        <rFont val="メイリオ"/>
        <family val="0"/>
        <charset val="1"/>
      </rPr>
      <t xml:space="preserve">OK</t>
    </r>
    <r>
      <rPr>
        <sz val="9"/>
        <color rgb="FF8A8188"/>
        <rFont val="Noto Sans CJK SC"/>
        <family val="2"/>
      </rPr>
      <t xml:space="preserve">です。</t>
    </r>
  </si>
  <si>
    <t xml:space="preserve">開始年</t>
  </si>
  <si>
    <r>
      <rPr>
        <sz val="9"/>
        <color rgb="FF8A8188"/>
        <rFont val="Noto Sans CJK SC"/>
        <family val="2"/>
      </rPr>
      <t xml:space="preserve">例：</t>
    </r>
    <r>
      <rPr>
        <sz val="9"/>
        <color rgb="FF8A8188"/>
        <rFont val="メイリオ"/>
        <family val="0"/>
        <charset val="1"/>
      </rPr>
      <t xml:space="preserve">2026</t>
    </r>
  </si>
  <si>
    <r>
      <rPr>
        <b val="true"/>
        <sz val="10"/>
        <color rgb="FF4A3F45"/>
        <rFont val="Noto Sans CJK SC"/>
        <family val="2"/>
      </rPr>
      <t xml:space="preserve">開始月（何月始まりでも</t>
    </r>
    <r>
      <rPr>
        <b val="true"/>
        <sz val="10"/>
        <color rgb="FF4A3F45"/>
        <rFont val="メイリオ"/>
        <family val="0"/>
        <charset val="1"/>
      </rPr>
      <t xml:space="preserve">OK</t>
    </r>
    <r>
      <rPr>
        <b val="true"/>
        <sz val="10"/>
        <color rgb="FF4A3F45"/>
        <rFont val="Noto Sans CJK SC"/>
        <family val="2"/>
      </rPr>
      <t xml:space="preserve">）</t>
    </r>
  </si>
  <si>
    <r>
      <rPr>
        <sz val="9"/>
        <color rgb="FF8A8188"/>
        <rFont val="メイリオ"/>
        <family val="0"/>
        <charset val="1"/>
      </rPr>
      <t xml:space="preserve">1</t>
    </r>
    <r>
      <rPr>
        <sz val="9"/>
        <color rgb="FF8A8188"/>
        <rFont val="Noto Sans CJK SC"/>
        <family val="2"/>
      </rPr>
      <t xml:space="preserve">月始まり＝</t>
    </r>
    <r>
      <rPr>
        <sz val="9"/>
        <color rgb="FF8A8188"/>
        <rFont val="メイリオ"/>
        <family val="0"/>
        <charset val="1"/>
      </rPr>
      <t xml:space="preserve">1</t>
    </r>
    <r>
      <rPr>
        <sz val="9"/>
        <color rgb="FF8A8188"/>
        <rFont val="Noto Sans CJK SC"/>
        <family val="2"/>
      </rPr>
      <t xml:space="preserve">　</t>
    </r>
    <r>
      <rPr>
        <sz val="9"/>
        <color rgb="FF8A8188"/>
        <rFont val="メイリオ"/>
        <family val="0"/>
        <charset val="1"/>
      </rPr>
      <t xml:space="preserve">4</t>
    </r>
    <r>
      <rPr>
        <sz val="9"/>
        <color rgb="FF8A8188"/>
        <rFont val="Noto Sans CJK SC"/>
        <family val="2"/>
      </rPr>
      <t xml:space="preserve">月始まり＝</t>
    </r>
    <r>
      <rPr>
        <sz val="9"/>
        <color rgb="FF8A8188"/>
        <rFont val="メイリオ"/>
        <family val="0"/>
        <charset val="1"/>
      </rPr>
      <t xml:space="preserve">4</t>
    </r>
  </si>
  <si>
    <t xml:space="preserve">基準日（空欄なら今日）</t>
  </si>
  <si>
    <r>
      <rPr>
        <sz val="9"/>
        <color rgb="FF8A8188"/>
        <rFont val="Noto Sans CJK SC"/>
        <family val="2"/>
      </rPr>
      <t xml:space="preserve">空欄のままで</t>
    </r>
    <r>
      <rPr>
        <sz val="9"/>
        <color rgb="FF8A8188"/>
        <rFont val="メイリオ"/>
        <family val="0"/>
        <charset val="1"/>
      </rPr>
      <t xml:space="preserve">OK</t>
    </r>
    <r>
      <rPr>
        <sz val="9"/>
        <color rgb="FF8A8188"/>
        <rFont val="Noto Sans CJK SC"/>
        <family val="2"/>
      </rPr>
      <t xml:space="preserve">。過去の日で確認したいときだけ入力</t>
    </r>
  </si>
  <si>
    <t xml:space="preserve">集計期間の開始日</t>
  </si>
  <si>
    <r>
      <rPr>
        <sz val="9"/>
        <color rgb="FF8A8188"/>
        <rFont val="Noto Sans CJK SC"/>
        <family val="2"/>
      </rPr>
      <t xml:space="preserve">自動計算（触らなくて</t>
    </r>
    <r>
      <rPr>
        <sz val="9"/>
        <color rgb="FF8A8188"/>
        <rFont val="メイリオ"/>
        <family val="0"/>
        <charset val="1"/>
      </rPr>
      <t xml:space="preserve">OK</t>
    </r>
    <r>
      <rPr>
        <sz val="9"/>
        <color rgb="FF8A8188"/>
        <rFont val="Noto Sans CJK SC"/>
        <family val="2"/>
      </rPr>
      <t xml:space="preserve">）</t>
    </r>
  </si>
  <si>
    <t xml:space="preserve">集計期間の終了日</t>
  </si>
  <si>
    <t xml:space="preserve">計算に使う日付</t>
  </si>
  <si>
    <t xml:space="preserve">経過月数（積立の計算に使用）</t>
  </si>
  <si>
    <r>
      <rPr>
        <b val="true"/>
        <sz val="11"/>
        <color rgb="FF6B2D42"/>
        <rFont val="Noto Sans CJK SC"/>
        <family val="2"/>
      </rPr>
      <t xml:space="preserve">イベント項目（最大</t>
    </r>
    <r>
      <rPr>
        <b val="true"/>
        <sz val="11"/>
        <color rgb="FF6B2D42"/>
        <rFont val="メイリオ"/>
        <family val="0"/>
        <charset val="1"/>
      </rPr>
      <t xml:space="preserve">15</t>
    </r>
    <r>
      <rPr>
        <b val="true"/>
        <sz val="11"/>
        <color rgb="FF6B2D42"/>
        <rFont val="Noto Sans CJK SC"/>
        <family val="2"/>
      </rPr>
      <t xml:space="preserve">個・名前も金額も自由に変更できます）</t>
    </r>
  </si>
  <si>
    <t xml:space="preserve">項目名</t>
  </si>
  <si>
    <t xml:space="preserve">年間予算（円）</t>
  </si>
  <si>
    <t xml:space="preserve">支払予定月</t>
  </si>
  <si>
    <t xml:space="preserve">最初から貯めてある額（円）</t>
  </si>
  <si>
    <r>
      <rPr>
        <sz val="9"/>
        <color rgb="FF8A8188"/>
        <rFont val="Noto Sans CJK SC"/>
        <family val="2"/>
      </rPr>
      <t xml:space="preserve">お盆・</t>
    </r>
    <r>
      <rPr>
        <sz val="9"/>
        <color rgb="FF8A8188"/>
        <rFont val="メイリオ"/>
        <family val="0"/>
        <charset val="1"/>
      </rPr>
      <t xml:space="preserve">GW</t>
    </r>
    <r>
      <rPr>
        <sz val="9"/>
        <color rgb="FF8A8188"/>
        <rFont val="Noto Sans CJK SC"/>
        <family val="2"/>
      </rPr>
      <t xml:space="preserve">など</t>
    </r>
  </si>
  <si>
    <t xml:space="preserve">冠婚葬祭（ご祝儀・香典）</t>
  </si>
  <si>
    <t xml:space="preserve">誕生日・記念日</t>
  </si>
  <si>
    <t xml:space="preserve">家族・友人・パートナー</t>
  </si>
  <si>
    <t xml:space="preserve">クリスマス・年末年始</t>
  </si>
  <si>
    <t xml:space="preserve">お中元・お歳暮</t>
  </si>
  <si>
    <t xml:space="preserve">美容（ヘア・ネイル）</t>
  </si>
  <si>
    <t xml:space="preserve">推し活・イベント</t>
  </si>
  <si>
    <t xml:space="preserve">チケット・グッズ・遠征</t>
  </si>
  <si>
    <t xml:space="preserve">家電・家具の買い替え</t>
  </si>
  <si>
    <t xml:space="preserve">資格・習い事</t>
  </si>
  <si>
    <t xml:space="preserve">年払い（保険・サブスク）</t>
  </si>
  <si>
    <t xml:space="preserve">その他（予備費）</t>
  </si>
  <si>
    <t xml:space="preserve">想定外の出費用</t>
  </si>
  <si>
    <r>
      <rPr>
        <sz val="9"/>
        <color rgb="FF8A8188"/>
        <rFont val="Noto Sans CJK SC"/>
        <family val="2"/>
      </rPr>
      <t xml:space="preserve">※年間予算・予定月の初期値は「例」です（出典なし・参考用）。支払予定月は空欄でも</t>
    </r>
    <r>
      <rPr>
        <sz val="9"/>
        <color rgb="FF8A8188"/>
        <rFont val="メイリオ"/>
        <family val="0"/>
        <charset val="1"/>
      </rPr>
      <t xml:space="preserve">OK</t>
    </r>
    <r>
      <rPr>
        <sz val="9"/>
        <color rgb="FF8A8188"/>
        <rFont val="Noto Sans CJK SC"/>
        <family val="2"/>
      </rPr>
      <t xml:space="preserve">です。</t>
    </r>
  </si>
  <si>
    <t xml:space="preserve">月別の見える化</t>
  </si>
  <si>
    <r>
      <rPr>
        <sz val="9"/>
        <color rgb="FF8A8188"/>
        <rFont val="Noto Sans CJK SC"/>
        <family val="2"/>
      </rPr>
      <t xml:space="preserve">すべて自動計算です（触らなくて</t>
    </r>
    <r>
      <rPr>
        <sz val="9"/>
        <color rgb="FF8A8188"/>
        <rFont val="メイリオ"/>
        <family val="0"/>
        <charset val="1"/>
      </rPr>
      <t xml:space="preserve">OK</t>
    </r>
    <r>
      <rPr>
        <sz val="9"/>
        <color rgb="FF8A8188"/>
        <rFont val="Noto Sans CJK SC"/>
        <family val="2"/>
      </rPr>
      <t xml:space="preserve">）。入力シートに記録すると、ここに反映されます。</t>
    </r>
  </si>
  <si>
    <t xml:space="preserve">① 実際に使った額（月別）</t>
  </si>
  <si>
    <t xml:space="preserve">② 支払い予定（設定した「支払予定月」に年間予算を表示）</t>
  </si>
  <si>
    <t xml:space="preserve">③ 積立残高の推移（月末時点の目安）</t>
  </si>
  <si>
    <t xml:space="preserve">※赤い数字は、積立より先に使った（貯めた分が足りない）状態です。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</si>
</sst>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\円"/>
    <numFmt numFmtId="166" formatCode="#,##0\円;[RED]\-#,##0\円"/>
    <numFmt numFmtId="167" formatCode="yyyy/m/d"/>
    <numFmt numFmtId="168" formatCode="0"/>
    <numFmt numFmtId="169" formatCode="0&quot;か月&quot;"/>
    <numFmt numFmtId="170" formatCode="0\月"/>
    <numFmt numFmtId="171" formatCode="m\月"/>
    <numFmt numFmtId="172" formatCode="#,##0;[RED]\-#,##0;\-"/>
  </numFmts>
  <fonts count="28">
    <font>
      <sz val="11"/>
      <color theme="1"/>
      <name val="メイリオ"/>
      <family val="2"/>
      <charset val="1"/>
    </font>
    <font>
      <sz val="10"/>
      <name val="メイリオ"/>
      <family val="0"/>
    </font>
    <font>
      <sz val="10"/>
      <name val="メイリオ"/>
      <family val="0"/>
    </font>
    <font>
      <sz val="10"/>
      <name val="メイリオ"/>
      <family val="0"/>
    </font>
    <font>
      <b val="true"/>
      <sz val="18"/>
      <color rgb="FF6B2D42"/>
      <name val="メイリオ"/>
      <family val="2"/>
    </font>
    <font>
      <sz val="10"/>
      <color rgb="FF8A8188"/>
      <name val="メイリオ"/>
      <family val="2"/>
    </font>
    <font>
      <b val="true"/>
      <sz val="11"/>
      <color rgb="FF6B2D42"/>
      <name val="メイリオ"/>
      <family val="2"/>
    </font>
    <font>
      <b val="true"/>
      <sz val="11"/>
      <color rgb="FF6B2D42"/>
      <name val="メイリオ"/>
      <family val="0"/>
      <charset val="1"/>
    </font>
    <font>
      <b val="true"/>
      <sz val="10"/>
      <color rgb="FF6B2D42"/>
      <name val="メイリオ"/>
      <family val="2"/>
    </font>
    <font>
      <sz val="10"/>
      <color rgb="FF4A3F45"/>
      <name val="メイリオ"/>
      <family val="2"/>
    </font>
    <font>
      <sz val="10"/>
      <color rgb="FF4A3F45"/>
      <name val="メイリオ"/>
      <family val="0"/>
      <charset val="1"/>
    </font>
    <font>
      <b val="true"/>
      <sz val="10"/>
      <color rgb="FF6B2D42"/>
      <name val="メイリオ"/>
      <family val="0"/>
      <charset val="1"/>
    </font>
    <font>
      <b val="true"/>
      <sz val="13"/>
      <color rgb="FF4A3F45"/>
      <name val="メイリオ"/>
      <family val="0"/>
      <charset val="1"/>
    </font>
    <font>
      <b val="true"/>
      <sz val="13"/>
      <color rgb="FF4A3F45"/>
      <name val="メイリオ"/>
      <family val="2"/>
    </font>
    <font>
      <b val="true"/>
      <sz val="10"/>
      <color rgb="FF4A3F45"/>
      <name val="メイリオ"/>
      <family val="0"/>
      <charset val="1"/>
    </font>
    <font>
      <sz val="9"/>
      <color rgb="FFB5546F"/>
      <name val="メイリオ"/>
      <family val="0"/>
      <charset val="1"/>
    </font>
    <font>
      <b val="true"/>
      <sz val="10"/>
      <color rgb="FF2F5D4B"/>
      <name val="メイリオ"/>
      <family val="2"/>
    </font>
    <font>
      <b val="true"/>
      <sz val="10"/>
      <color rgb="FF2F5D4B"/>
      <name val="メイリオ"/>
      <family val="0"/>
      <charset val="1"/>
    </font>
    <font>
      <sz val="9"/>
      <color rgb="FF8A8188"/>
      <name val="メイリオ"/>
      <family val="2"/>
    </font>
    <font>
      <sz val="9"/>
      <color rgb="FF8A8188"/>
      <name val="メイリオ"/>
      <family val="0"/>
      <charset val="1"/>
    </font>
    <font>
      <b val="true"/>
      <sz val="16"/>
      <color rgb="FF6B2D42"/>
      <name val="メイリオ"/>
      <family val="2"/>
    </font>
    <font>
      <i val="true"/>
      <sz val="9"/>
      <color rgb="FF8A8188"/>
      <name val="メイリオ"/>
      <family val="0"/>
      <charset val="1"/>
    </font>
    <font>
      <i val="true"/>
      <sz val="9"/>
      <color rgb="FF8A8188"/>
      <name val="メイリオ"/>
      <family val="2"/>
    </font>
    <font>
      <b val="true"/>
      <sz val="9"/>
      <color rgb="FFC0392B"/>
      <name val="メイリオ"/>
      <family val="0"/>
      <charset val="1"/>
    </font>
    <font>
      <b val="true"/>
      <sz val="10"/>
      <color rgb="FF4A3F45"/>
      <name val="メイリオ"/>
      <family val="2"/>
    </font>
    <font>
      <b val="true"/>
      <sz val="11"/>
      <color rgb="FF4A3F45"/>
      <name val="メイリオ"/>
      <family val="0"/>
      <charset val="1"/>
    </font>
    <font>
      <sz val="9"/>
      <color rgb="FF4A3F45"/>
      <name val="メイリオ"/>
      <family val="0"/>
      <charset val="1"/>
    </font>
    <font>
      <b val="true"/>
      <sz val="9"/>
      <color rgb="FF2F5D4B"/>
      <name val="メイリオ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7C6D0"/>
        <bgColor rgb="FFEBD3DA"/>
      </patternFill>
    </fill>
    <fill>
      <patternFill patternType="solid">
        <fgColor rgb="FFE9E3F5"/>
        <bgColor rgb="FFF1EEF0"/>
      </patternFill>
    </fill>
    <fill>
      <patternFill patternType="solid">
        <fgColor rgb="FFFDECEF"/>
        <bgColor rgb="FFF1EEF0"/>
      </patternFill>
    </fill>
    <fill>
      <patternFill patternType="solid">
        <fgColor rgb="FFFFF7DB"/>
        <bgColor rgb="FFFDECEF"/>
      </patternFill>
    </fill>
    <fill>
      <patternFill patternType="solid">
        <fgColor rgb="FFF4B6C4"/>
        <bgColor rgb="FFF7C6D0"/>
      </patternFill>
    </fill>
    <fill>
      <patternFill patternType="solid">
        <fgColor rgb="FFE3F4EC"/>
        <bgColor rgb="FFF1EEF0"/>
      </patternFill>
    </fill>
    <fill>
      <patternFill patternType="solid">
        <fgColor rgb="FFF1EEF0"/>
        <bgColor rgb="FFFDEC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BD3DA"/>
      </left>
      <right style="thin">
        <color rgb="FFEBD3DA"/>
      </right>
      <top style="thin">
        <color rgb="FFEBD3DA"/>
      </top>
      <bottom style="thin">
        <color rgb="FFEBD3DA"/>
      </bottom>
      <diagonal/>
    </border>
    <border diagonalUp="false" diagonalDown="false">
      <left style="thin">
        <color rgb="FFEBD9A6"/>
      </left>
      <right style="thin">
        <color rgb="FFEBD9A6"/>
      </right>
      <top style="thin">
        <color rgb="FFEBD9A6"/>
      </top>
      <bottom style="thin">
        <color rgb="FFEBD9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5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5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10" fillId="5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5" fillId="5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5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70" fontId="10" fillId="5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8" fillId="5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71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メイリオ"/>
        <charset val="1"/>
        <family val="0"/>
        <b val="1"/>
        <color rgb="FFC0392B"/>
      </font>
      <fill>
        <patternFill>
          <bgColor rgb="FFFDE2E2"/>
        </patternFill>
      </fill>
    </dxf>
    <dxf>
      <font>
        <name val="メイリオ"/>
        <charset val="1"/>
        <family val="0"/>
        <color rgb="FFC0392B"/>
      </font>
    </dxf>
    <dxf>
      <fill>
        <patternFill>
          <bgColor rgb="FFFDE2E2"/>
        </patternFill>
      </fill>
    </dxf>
  </dxfs>
  <colors>
    <indexedColors>
      <rgbColor rgb="FF000000"/>
      <rgbColor rgb="FFFDEC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7C6D0"/>
      <rgbColor rgb="FF8A8188"/>
      <rgbColor rgb="FF9999FF"/>
      <rgbColor rgb="FF6B2D42"/>
      <rgbColor rgb="FFFFF7DB"/>
      <rgbColor rgb="FFE3F4EC"/>
      <rgbColor rgb="FF660066"/>
      <rgbColor rgb="FFFF8080"/>
      <rgbColor rgb="FF0066CC"/>
      <rgbColor rgb="FFEB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EF0"/>
      <rgbColor rgb="FFE9E3F5"/>
      <rgbColor rgb="FFFDE2E2"/>
      <rgbColor rgb="FF99CCFF"/>
      <rgbColor rgb="FFF4B6C4"/>
      <rgbColor rgb="FFCC99FF"/>
      <rgbColor rgb="FFEBD9A6"/>
      <rgbColor rgb="FF3366FF"/>
      <rgbColor rgb="FF33CCCC"/>
      <rgbColor rgb="FF99CC00"/>
      <rgbColor rgb="FFFFCC00"/>
      <rgbColor rgb="FFFF9900"/>
      <rgbColor rgb="FFFF6600"/>
      <rgbColor rgb="FF2F5D4B"/>
      <rgbColor rgb="FF969696"/>
      <rgbColor rgb="FF003366"/>
      <rgbColor rgb="FF339966"/>
      <rgbColor rgb="FF003300"/>
      <rgbColor rgb="FF333300"/>
      <rgbColor rgb="FFC0392B"/>
      <rgbColor rgb="FFB5546F"/>
      <rgbColor rgb="FF333399"/>
      <rgbColor rgb="FF4A3F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86"/>
  </cols>
  <sheetData>
    <row r="1" customFormat="false" ht="45.75" hidden="false" customHeight="true" outlineLevel="0" collapsed="false">
      <c r="B1" s="1" t="s">
        <v>0</v>
      </c>
      <c r="C1" s="1"/>
    </row>
    <row r="2" customFormat="false" ht="30" hidden="false" customHeight="true" outlineLevel="0" collapsed="false">
      <c r="B2" s="2" t="s">
        <v>1</v>
      </c>
      <c r="C2" s="2"/>
    </row>
    <row r="4" customFormat="false" ht="25.5" hidden="false" customHeight="true" outlineLevel="0" collapsed="false">
      <c r="B4" s="3" t="s">
        <v>2</v>
      </c>
      <c r="C4" s="3"/>
    </row>
    <row r="5" customFormat="false" ht="42" hidden="false" customHeight="true" outlineLevel="0" collapsed="false">
      <c r="B5" s="4" t="s">
        <v>3</v>
      </c>
      <c r="C5" s="5" t="s">
        <v>4</v>
      </c>
    </row>
    <row r="6" customFormat="false" ht="42" hidden="false" customHeight="true" outlineLevel="0" collapsed="false">
      <c r="B6" s="4" t="s">
        <v>5</v>
      </c>
      <c r="C6" s="5" t="s">
        <v>6</v>
      </c>
    </row>
    <row r="7" customFormat="false" ht="42" hidden="false" customHeight="true" outlineLevel="0" collapsed="false">
      <c r="B7" s="4" t="s">
        <v>7</v>
      </c>
      <c r="C7" s="5" t="s">
        <v>8</v>
      </c>
    </row>
    <row r="9" customFormat="false" ht="25.5" hidden="false" customHeight="true" outlineLevel="0" collapsed="false">
      <c r="B9" s="3" t="s">
        <v>9</v>
      </c>
      <c r="C9" s="3"/>
    </row>
    <row r="10" customFormat="false" ht="24" hidden="false" customHeight="true" outlineLevel="0" collapsed="false">
      <c r="B10" s="6" t="s">
        <v>10</v>
      </c>
      <c r="C10" s="7" t="s">
        <v>11</v>
      </c>
    </row>
    <row r="11" customFormat="false" ht="24" hidden="false" customHeight="true" outlineLevel="0" collapsed="false">
      <c r="B11" s="4" t="s">
        <v>12</v>
      </c>
      <c r="C11" s="5" t="s">
        <v>13</v>
      </c>
    </row>
    <row r="13" customFormat="false" ht="25.5" hidden="false" customHeight="true" outlineLevel="0" collapsed="false">
      <c r="B13" s="3" t="s">
        <v>14</v>
      </c>
      <c r="C13" s="3"/>
    </row>
    <row r="14" customFormat="false" ht="42" hidden="false" customHeight="true" outlineLevel="0" collapsed="false">
      <c r="B14" s="4" t="s">
        <v>15</v>
      </c>
      <c r="C14" s="5" t="s">
        <v>16</v>
      </c>
    </row>
    <row r="15" customFormat="false" ht="42" hidden="false" customHeight="true" outlineLevel="0" collapsed="false">
      <c r="B15" s="4" t="s">
        <v>17</v>
      </c>
      <c r="C15" s="5" t="s">
        <v>18</v>
      </c>
    </row>
    <row r="16" customFormat="false" ht="42" hidden="false" customHeight="true" outlineLevel="0" collapsed="false">
      <c r="B16" s="4" t="s">
        <v>19</v>
      </c>
      <c r="C16" s="5" t="s">
        <v>20</v>
      </c>
    </row>
    <row r="17" customFormat="false" ht="24" hidden="false" customHeight="true" outlineLevel="0" collapsed="false">
      <c r="B17" s="4" t="s">
        <v>21</v>
      </c>
      <c r="C17" s="5" t="s">
        <v>22</v>
      </c>
    </row>
    <row r="19" customFormat="false" ht="25.5" hidden="false" customHeight="true" outlineLevel="0" collapsed="false">
      <c r="B19" s="3" t="s">
        <v>23</v>
      </c>
      <c r="C19" s="3"/>
    </row>
    <row r="20" customFormat="false" ht="60" hidden="false" customHeight="true" outlineLevel="0" collapsed="false">
      <c r="B20" s="4" t="s">
        <v>24</v>
      </c>
      <c r="C20" s="5" t="s">
        <v>25</v>
      </c>
    </row>
    <row r="22" customFormat="false" ht="25.5" hidden="false" customHeight="true" outlineLevel="0" collapsed="false">
      <c r="B22" s="3" t="s">
        <v>26</v>
      </c>
      <c r="C22" s="3"/>
    </row>
    <row r="23" customFormat="false" ht="42" hidden="false" customHeight="true" outlineLevel="0" collapsed="false">
      <c r="B23" s="4" t="s">
        <v>27</v>
      </c>
      <c r="C23" s="5" t="s">
        <v>28</v>
      </c>
    </row>
    <row r="24" customFormat="false" ht="78" hidden="false" customHeight="true" outlineLevel="0" collapsed="false">
      <c r="B24" s="4" t="s">
        <v>29</v>
      </c>
      <c r="C24" s="8" t="s">
        <v>30</v>
      </c>
    </row>
    <row r="25" customFormat="false" ht="78" hidden="false" customHeight="true" outlineLevel="0" collapsed="false">
      <c r="B25" s="4" t="s">
        <v>31</v>
      </c>
      <c r="C25" s="5" t="s">
        <v>32</v>
      </c>
    </row>
    <row r="26" customFormat="false" ht="78" hidden="false" customHeight="true" outlineLevel="0" collapsed="false">
      <c r="B26" s="4" t="s">
        <v>33</v>
      </c>
      <c r="C26" s="5" t="s">
        <v>34</v>
      </c>
    </row>
    <row r="27" customFormat="false" ht="42" hidden="false" customHeight="true" outlineLevel="0" collapsed="false">
      <c r="B27" s="9" t="s">
        <v>35</v>
      </c>
      <c r="C27" s="8" t="s">
        <v>36</v>
      </c>
    </row>
    <row r="28" customFormat="false" ht="42" hidden="false" customHeight="true" outlineLevel="0" collapsed="false">
      <c r="B28" s="9" t="s">
        <v>37</v>
      </c>
      <c r="C28" s="5" t="s">
        <v>38</v>
      </c>
    </row>
    <row r="29" customFormat="false" ht="60" hidden="false" customHeight="true" outlineLevel="0" collapsed="false">
      <c r="B29" s="4" t="s">
        <v>39</v>
      </c>
      <c r="C29" s="5" t="s">
        <v>40</v>
      </c>
    </row>
    <row r="31" customFormat="false" ht="25.5" hidden="false" customHeight="true" outlineLevel="0" collapsed="false">
      <c r="B31" s="3" t="s">
        <v>41</v>
      </c>
      <c r="C31" s="3"/>
    </row>
    <row r="32" customFormat="false" ht="42" hidden="false" customHeight="true" outlineLevel="0" collapsed="false">
      <c r="B32" s="4" t="s">
        <v>42</v>
      </c>
      <c r="C32" s="5" t="s">
        <v>43</v>
      </c>
    </row>
    <row r="33" customFormat="false" ht="42" hidden="false" customHeight="true" outlineLevel="0" collapsed="false">
      <c r="B33" s="4" t="s">
        <v>44</v>
      </c>
      <c r="C33" s="5" t="s">
        <v>45</v>
      </c>
    </row>
    <row r="34" customFormat="false" ht="60" hidden="false" customHeight="true" outlineLevel="0" collapsed="false">
      <c r="B34" s="4" t="s">
        <v>46</v>
      </c>
      <c r="C34" s="5" t="s">
        <v>47</v>
      </c>
    </row>
    <row r="35" customFormat="false" ht="60" hidden="false" customHeight="true" outlineLevel="0" collapsed="false">
      <c r="B35" s="4" t="s">
        <v>48</v>
      </c>
      <c r="C35" s="5" t="s">
        <v>49</v>
      </c>
    </row>
    <row r="36" customFormat="false" ht="24" hidden="false" customHeight="true" outlineLevel="0" collapsed="false">
      <c r="B36" s="4" t="s">
        <v>50</v>
      </c>
      <c r="C36" s="5" t="s">
        <v>51</v>
      </c>
    </row>
    <row r="37" customFormat="false" ht="60" hidden="false" customHeight="true" outlineLevel="0" collapsed="false">
      <c r="B37" s="9" t="s">
        <v>52</v>
      </c>
      <c r="C37" s="5" t="s">
        <v>53</v>
      </c>
    </row>
    <row r="38" customFormat="false" ht="60" hidden="false" customHeight="true" outlineLevel="0" collapsed="false">
      <c r="B38" s="4" t="s">
        <v>54</v>
      </c>
      <c r="C38" s="5" t="s">
        <v>55</v>
      </c>
    </row>
    <row r="40" customFormat="false" ht="25.5" hidden="false" customHeight="true" outlineLevel="0" collapsed="false">
      <c r="B40" s="3" t="s">
        <v>56</v>
      </c>
      <c r="C40" s="3"/>
    </row>
    <row r="41" customFormat="false" ht="42" hidden="false" customHeight="true" outlineLevel="0" collapsed="false">
      <c r="B41" s="4" t="s">
        <v>57</v>
      </c>
      <c r="C41" s="5" t="s">
        <v>58</v>
      </c>
    </row>
    <row r="42" customFormat="false" ht="24" hidden="false" customHeight="true" outlineLevel="0" collapsed="false">
      <c r="B42" s="4" t="s">
        <v>59</v>
      </c>
      <c r="C42" s="5" t="s">
        <v>60</v>
      </c>
    </row>
    <row r="43" customFormat="false" ht="42" hidden="false" customHeight="true" outlineLevel="0" collapsed="false">
      <c r="B43" s="4" t="s">
        <v>61</v>
      </c>
      <c r="C43" s="5" t="s">
        <v>62</v>
      </c>
    </row>
  </sheetData>
  <mergeCells count="9">
    <mergeCell ref="B1:C1"/>
    <mergeCell ref="B2:C2"/>
    <mergeCell ref="B4:C4"/>
    <mergeCell ref="B9:C9"/>
    <mergeCell ref="B13:C13"/>
    <mergeCell ref="B19:C19"/>
    <mergeCell ref="B22:C22"/>
    <mergeCell ref="B31:C31"/>
    <mergeCell ref="B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7"/>
    <col collapsed="false" customWidth="true" hidden="false" outlineLevel="0" max="5" min="3" style="0" width="15"/>
    <col collapsed="false" customWidth="true" hidden="false" outlineLevel="0" max="6" min="6" style="0" width="27"/>
    <col collapsed="false" customWidth="true" hidden="false" outlineLevel="0" max="7" min="7" style="0" width="15"/>
    <col collapsed="false" customWidth="true" hidden="false" outlineLevel="0" max="8" min="8" style="0" width="16"/>
  </cols>
  <sheetData>
    <row r="1" customFormat="false" ht="43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B2" s="2" t="str">
        <f aca="false">"集計期間："&amp;TEXT(設定!C8,"yyyy年m月d日")&amp;" 〜 "&amp;TEXT(設定!C9,"yyyy年m月d日")</f>
        <v>集計期間：2026年1月1日 〜 2026年12月31日</v>
      </c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B4" s="10" t="s">
        <v>63</v>
      </c>
      <c r="C4" s="10"/>
      <c r="D4" s="11" t="n">
        <f aca="false">C28</f>
        <v>460000</v>
      </c>
      <c r="E4" s="11"/>
    </row>
    <row r="5" customFormat="false" ht="25.5" hidden="false" customHeight="true" outlineLevel="0" collapsed="false">
      <c r="B5" s="10" t="s">
        <v>64</v>
      </c>
      <c r="C5" s="10"/>
      <c r="D5" s="11" t="n">
        <f aca="false">D28</f>
        <v>0</v>
      </c>
      <c r="E5" s="11"/>
    </row>
    <row r="6" customFormat="false" ht="25.5" hidden="false" customHeight="true" outlineLevel="0" collapsed="false">
      <c r="B6" s="10" t="s">
        <v>65</v>
      </c>
      <c r="C6" s="10"/>
      <c r="D6" s="12" t="n">
        <f aca="false">E28</f>
        <v>460000</v>
      </c>
      <c r="E6" s="12"/>
    </row>
    <row r="7" customFormat="false" ht="25.5" hidden="false" customHeight="true" outlineLevel="0" collapsed="false">
      <c r="B7" s="10" t="s">
        <v>66</v>
      </c>
      <c r="C7" s="10"/>
      <c r="D7" s="11" t="n">
        <f aca="false">G28</f>
        <v>38336</v>
      </c>
      <c r="E7" s="11"/>
    </row>
    <row r="8" customFormat="false" ht="25.5" hidden="false" customHeight="true" outlineLevel="0" collapsed="false">
      <c r="B8" s="10" t="s">
        <v>67</v>
      </c>
      <c r="C8" s="10"/>
      <c r="D8" s="12" t="n">
        <f aca="false">H28</f>
        <v>345024</v>
      </c>
      <c r="E8" s="12"/>
    </row>
    <row r="9" customFormat="false" ht="25.5" hidden="false" customHeight="true" outlineLevel="0" collapsed="false">
      <c r="B9" s="10" t="s">
        <v>68</v>
      </c>
      <c r="C9" s="10"/>
      <c r="D9" s="13" t="str">
        <f aca="false">IF(COUNTIF(入力!$E$5:$E$1004,"⚠*")=0,"問題なし ♡",COUNTIF(入力!$E$5:$E$1004,"⚠*")&amp;"件 要確認（入力シート）")</f>
        <v>問題なし ♡</v>
      </c>
      <c r="E9" s="13"/>
    </row>
    <row r="10" customFormat="false" ht="31.5" hidden="false" customHeight="true" outlineLevel="0" collapsed="false">
      <c r="B10" s="14" t="str">
        <f aca="false">IF(COUNTIF(E13:E27,"&lt;0")&gt;0,"予算オーバーの項目があります。内訳を見直してみましょう","順調です ♡ この調子でコツコツ積み立てましょう")</f>
        <v>順調です ♡ この調子でコツコツ積み立てましょう</v>
      </c>
      <c r="C10" s="14"/>
      <c r="D10" s="14"/>
      <c r="E10" s="14"/>
      <c r="F10" s="14"/>
      <c r="G10" s="14"/>
      <c r="H10" s="14"/>
    </row>
    <row r="12" customFormat="false" ht="25.5" hidden="false" customHeight="true" outlineLevel="0" collapsed="false">
      <c r="B12" s="15" t="s">
        <v>69</v>
      </c>
      <c r="C12" s="15" t="s">
        <v>70</v>
      </c>
      <c r="D12" s="15" t="s">
        <v>71</v>
      </c>
      <c r="E12" s="15" t="s">
        <v>72</v>
      </c>
      <c r="F12" s="15" t="s">
        <v>73</v>
      </c>
      <c r="G12" s="15" t="s">
        <v>74</v>
      </c>
      <c r="H12" s="15" t="s">
        <v>75</v>
      </c>
    </row>
    <row r="13" customFormat="false" ht="15" hidden="false" customHeight="false" outlineLevel="0" collapsed="false">
      <c r="B13" s="5" t="str">
        <f aca="false">IF(設定!B15="","",設定!B15)</f>
        <v>帰省・旅行</v>
      </c>
      <c r="C13" s="16" t="n">
        <f aca="false">IF($B13="","",N(設定!C15))</f>
        <v>80000</v>
      </c>
      <c r="D13" s="16" t="n">
        <f aca="false">IF($B13="","",SUMIFS(入力!$C$5:$C$1004,入力!$B$5:$B$1004,$B13,入力!$A$5:$A$1004,"&gt;="&amp;設定!$C$8,入力!$A$5:$A$1004,"&lt;="&amp;設定!$C$9))</f>
        <v>0</v>
      </c>
      <c r="E13" s="17" t="n">
        <f aca="false">IF($B13="","",C13-D13)</f>
        <v>80000</v>
      </c>
      <c r="F13" s="18" t="str">
        <f aca="false">IF($B13="","",IF(C13&lt;=0,"予算未設定",REPT("■",MIN(10,ROUND(D13/C13*10,0)))&amp;REPT("□",10-MIN(10,ROUND(D13/C13*10,0)))&amp;" "&amp;TEXT(D13/C13,"0%")))</f>
        <v>□□□□□□□□□□ 0%</v>
      </c>
      <c r="G13" s="16" t="n">
        <f aca="false">IF($B13="","",ROUNDUP(C13/12,0))</f>
        <v>6667</v>
      </c>
      <c r="H13" s="19" t="n">
        <f aca="false">IF($B13="","",N(設定!E15)+G13*設定!$C$11-D13)</f>
        <v>60003</v>
      </c>
    </row>
    <row r="14" customFormat="false" ht="15" hidden="false" customHeight="false" outlineLevel="0" collapsed="false">
      <c r="B14" s="5" t="str">
        <f aca="false">IF(設定!B16="","",設定!B16)</f>
        <v>冠婚葬祭（ご祝儀・香典）</v>
      </c>
      <c r="C14" s="16" t="n">
        <f aca="false">IF($B14="","",N(設定!C16))</f>
        <v>60000</v>
      </c>
      <c r="D14" s="16" t="n">
        <f aca="false">IF($B14="","",SUMIFS(入力!$C$5:$C$1004,入力!$B$5:$B$1004,$B14,入力!$A$5:$A$1004,"&gt;="&amp;設定!$C$8,入力!$A$5:$A$1004,"&lt;="&amp;設定!$C$9))</f>
        <v>0</v>
      </c>
      <c r="E14" s="17" t="n">
        <f aca="false">IF($B14="","",C14-D14)</f>
        <v>60000</v>
      </c>
      <c r="F14" s="18" t="str">
        <f aca="false">IF($B14="","",IF(C14&lt;=0,"予算未設定",REPT("■",MIN(10,ROUND(D14/C14*10,0)))&amp;REPT("□",10-MIN(10,ROUND(D14/C14*10,0)))&amp;" "&amp;TEXT(D14/C14,"0%")))</f>
        <v>□□□□□□□□□□ 0%</v>
      </c>
      <c r="G14" s="16" t="n">
        <f aca="false">IF($B14="","",ROUNDUP(C14/12,0))</f>
        <v>5000</v>
      </c>
      <c r="H14" s="19" t="n">
        <f aca="false">IF($B14="","",N(設定!E16)+G14*設定!$C$11-D14)</f>
        <v>45000</v>
      </c>
    </row>
    <row r="15" customFormat="false" ht="15" hidden="false" customHeight="false" outlineLevel="0" collapsed="false">
      <c r="B15" s="5" t="str">
        <f aca="false">IF(設定!B17="","",設定!B17)</f>
        <v>誕生日・記念日</v>
      </c>
      <c r="C15" s="16" t="n">
        <f aca="false">IF($B15="","",N(設定!C17))</f>
        <v>30000</v>
      </c>
      <c r="D15" s="16" t="n">
        <f aca="false">IF($B15="","",SUMIFS(入力!$C$5:$C$1004,入力!$B$5:$B$1004,$B15,入力!$A$5:$A$1004,"&gt;="&amp;設定!$C$8,入力!$A$5:$A$1004,"&lt;="&amp;設定!$C$9))</f>
        <v>0</v>
      </c>
      <c r="E15" s="17" t="n">
        <f aca="false">IF($B15="","",C15-D15)</f>
        <v>30000</v>
      </c>
      <c r="F15" s="18" t="str">
        <f aca="false">IF($B15="","",IF(C15&lt;=0,"予算未設定",REPT("■",MIN(10,ROUND(D15/C15*10,0)))&amp;REPT("□",10-MIN(10,ROUND(D15/C15*10,0)))&amp;" "&amp;TEXT(D15/C15,"0%")))</f>
        <v>□□□□□□□□□□ 0%</v>
      </c>
      <c r="G15" s="16" t="n">
        <f aca="false">IF($B15="","",ROUNDUP(C15/12,0))</f>
        <v>2500</v>
      </c>
      <c r="H15" s="19" t="n">
        <f aca="false">IF($B15="","",N(設定!E17)+G15*設定!$C$11-D15)</f>
        <v>22500</v>
      </c>
    </row>
    <row r="16" customFormat="false" ht="15" hidden="false" customHeight="false" outlineLevel="0" collapsed="false">
      <c r="B16" s="5" t="str">
        <f aca="false">IF(設定!B18="","",設定!B18)</f>
        <v>クリスマス・年末年始</v>
      </c>
      <c r="C16" s="16" t="n">
        <f aca="false">IF($B16="","",N(設定!C18))</f>
        <v>40000</v>
      </c>
      <c r="D16" s="16" t="n">
        <f aca="false">IF($B16="","",SUMIFS(入力!$C$5:$C$1004,入力!$B$5:$B$1004,$B16,入力!$A$5:$A$1004,"&gt;="&amp;設定!$C$8,入力!$A$5:$A$1004,"&lt;="&amp;設定!$C$9))</f>
        <v>0</v>
      </c>
      <c r="E16" s="17" t="n">
        <f aca="false">IF($B16="","",C16-D16)</f>
        <v>40000</v>
      </c>
      <c r="F16" s="18" t="str">
        <f aca="false">IF($B16="","",IF(C16&lt;=0,"予算未設定",REPT("■",MIN(10,ROUND(D16/C16*10,0)))&amp;REPT("□",10-MIN(10,ROUND(D16/C16*10,0)))&amp;" "&amp;TEXT(D16/C16,"0%")))</f>
        <v>□□□□□□□□□□ 0%</v>
      </c>
      <c r="G16" s="16" t="n">
        <f aca="false">IF($B16="","",ROUNDUP(C16/12,0))</f>
        <v>3334</v>
      </c>
      <c r="H16" s="19" t="n">
        <f aca="false">IF($B16="","",N(設定!E18)+G16*設定!$C$11-D16)</f>
        <v>30006</v>
      </c>
    </row>
    <row r="17" customFormat="false" ht="15" hidden="false" customHeight="false" outlineLevel="0" collapsed="false">
      <c r="B17" s="5" t="str">
        <f aca="false">IF(設定!B19="","",設定!B19)</f>
        <v>お中元・お歳暮</v>
      </c>
      <c r="C17" s="16" t="n">
        <f aca="false">IF($B17="","",N(設定!C19))</f>
        <v>20000</v>
      </c>
      <c r="D17" s="16" t="n">
        <f aca="false">IF($B17="","",SUMIFS(入力!$C$5:$C$1004,入力!$B$5:$B$1004,$B17,入力!$A$5:$A$1004,"&gt;="&amp;設定!$C$8,入力!$A$5:$A$1004,"&lt;="&amp;設定!$C$9))</f>
        <v>0</v>
      </c>
      <c r="E17" s="17" t="n">
        <f aca="false">IF($B17="","",C17-D17)</f>
        <v>20000</v>
      </c>
      <c r="F17" s="18" t="str">
        <f aca="false">IF($B17="","",IF(C17&lt;=0,"予算未設定",REPT("■",MIN(10,ROUND(D17/C17*10,0)))&amp;REPT("□",10-MIN(10,ROUND(D17/C17*10,0)))&amp;" "&amp;TEXT(D17/C17,"0%")))</f>
        <v>□□□□□□□□□□ 0%</v>
      </c>
      <c r="G17" s="16" t="n">
        <f aca="false">IF($B17="","",ROUNDUP(C17/12,0))</f>
        <v>1667</v>
      </c>
      <c r="H17" s="19" t="n">
        <f aca="false">IF($B17="","",N(設定!E19)+G17*設定!$C$11-D17)</f>
        <v>15003</v>
      </c>
    </row>
    <row r="18" customFormat="false" ht="15" hidden="false" customHeight="false" outlineLevel="0" collapsed="false">
      <c r="B18" s="5" t="str">
        <f aca="false">IF(設定!B20="","",設定!B20)</f>
        <v>美容（ヘア・ネイル）</v>
      </c>
      <c r="C18" s="16" t="n">
        <f aca="false">IF($B18="","",N(設定!C20))</f>
        <v>60000</v>
      </c>
      <c r="D18" s="16" t="n">
        <f aca="false">IF($B18="","",SUMIFS(入力!$C$5:$C$1004,入力!$B$5:$B$1004,$B18,入力!$A$5:$A$1004,"&gt;="&amp;設定!$C$8,入力!$A$5:$A$1004,"&lt;="&amp;設定!$C$9))</f>
        <v>0</v>
      </c>
      <c r="E18" s="17" t="n">
        <f aca="false">IF($B18="","",C18-D18)</f>
        <v>60000</v>
      </c>
      <c r="F18" s="18" t="str">
        <f aca="false">IF($B18="","",IF(C18&lt;=0,"予算未設定",REPT("■",MIN(10,ROUND(D18/C18*10,0)))&amp;REPT("□",10-MIN(10,ROUND(D18/C18*10,0)))&amp;" "&amp;TEXT(D18/C18,"0%")))</f>
        <v>□□□□□□□□□□ 0%</v>
      </c>
      <c r="G18" s="16" t="n">
        <f aca="false">IF($B18="","",ROUNDUP(C18/12,0))</f>
        <v>5000</v>
      </c>
      <c r="H18" s="19" t="n">
        <f aca="false">IF($B18="","",N(設定!E20)+G18*設定!$C$11-D18)</f>
        <v>45000</v>
      </c>
    </row>
    <row r="19" customFormat="false" ht="15" hidden="false" customHeight="false" outlineLevel="0" collapsed="false">
      <c r="B19" s="5" t="str">
        <f aca="false">IF(設定!B21="","",設定!B21)</f>
        <v>推し活・イベント</v>
      </c>
      <c r="C19" s="16" t="n">
        <f aca="false">IF($B19="","",N(設定!C21))</f>
        <v>50000</v>
      </c>
      <c r="D19" s="16" t="n">
        <f aca="false">IF($B19="","",SUMIFS(入力!$C$5:$C$1004,入力!$B$5:$B$1004,$B19,入力!$A$5:$A$1004,"&gt;="&amp;設定!$C$8,入力!$A$5:$A$1004,"&lt;="&amp;設定!$C$9))</f>
        <v>0</v>
      </c>
      <c r="E19" s="17" t="n">
        <f aca="false">IF($B19="","",C19-D19)</f>
        <v>50000</v>
      </c>
      <c r="F19" s="18" t="str">
        <f aca="false">IF($B19="","",IF(C19&lt;=0,"予算未設定",REPT("■",MIN(10,ROUND(D19/C19*10,0)))&amp;REPT("□",10-MIN(10,ROUND(D19/C19*10,0)))&amp;" "&amp;TEXT(D19/C19,"0%")))</f>
        <v>□□□□□□□□□□ 0%</v>
      </c>
      <c r="G19" s="16" t="n">
        <f aca="false">IF($B19="","",ROUNDUP(C19/12,0))</f>
        <v>4167</v>
      </c>
      <c r="H19" s="19" t="n">
        <f aca="false">IF($B19="","",N(設定!E21)+G19*設定!$C$11-D19)</f>
        <v>37503</v>
      </c>
    </row>
    <row r="20" customFormat="false" ht="15" hidden="false" customHeight="false" outlineLevel="0" collapsed="false">
      <c r="B20" s="5" t="str">
        <f aca="false">IF(設定!B22="","",設定!B22)</f>
        <v>家電・家具の買い替え</v>
      </c>
      <c r="C20" s="16" t="n">
        <f aca="false">IF($B20="","",N(設定!C22))</f>
        <v>40000</v>
      </c>
      <c r="D20" s="16" t="n">
        <f aca="false">IF($B20="","",SUMIFS(入力!$C$5:$C$1004,入力!$B$5:$B$1004,$B20,入力!$A$5:$A$1004,"&gt;="&amp;設定!$C$8,入力!$A$5:$A$1004,"&lt;="&amp;設定!$C$9))</f>
        <v>0</v>
      </c>
      <c r="E20" s="17" t="n">
        <f aca="false">IF($B20="","",C20-D20)</f>
        <v>40000</v>
      </c>
      <c r="F20" s="18" t="str">
        <f aca="false">IF($B20="","",IF(C20&lt;=0,"予算未設定",REPT("■",MIN(10,ROUND(D20/C20*10,0)))&amp;REPT("□",10-MIN(10,ROUND(D20/C20*10,0)))&amp;" "&amp;TEXT(D20/C20,"0%")))</f>
        <v>□□□□□□□□□□ 0%</v>
      </c>
      <c r="G20" s="16" t="n">
        <f aca="false">IF($B20="","",ROUNDUP(C20/12,0))</f>
        <v>3334</v>
      </c>
      <c r="H20" s="19" t="n">
        <f aca="false">IF($B20="","",N(設定!E22)+G20*設定!$C$11-D20)</f>
        <v>30006</v>
      </c>
    </row>
    <row r="21" customFormat="false" ht="15" hidden="false" customHeight="false" outlineLevel="0" collapsed="false">
      <c r="B21" s="5" t="str">
        <f aca="false">IF(設定!B23="","",設定!B23)</f>
        <v>資格・習い事</v>
      </c>
      <c r="C21" s="16" t="n">
        <f aca="false">IF($B21="","",N(設定!C23))</f>
        <v>30000</v>
      </c>
      <c r="D21" s="16" t="n">
        <f aca="false">IF($B21="","",SUMIFS(入力!$C$5:$C$1004,入力!$B$5:$B$1004,$B21,入力!$A$5:$A$1004,"&gt;="&amp;設定!$C$8,入力!$A$5:$A$1004,"&lt;="&amp;設定!$C$9))</f>
        <v>0</v>
      </c>
      <c r="E21" s="17" t="n">
        <f aca="false">IF($B21="","",C21-D21)</f>
        <v>30000</v>
      </c>
      <c r="F21" s="18" t="str">
        <f aca="false">IF($B21="","",IF(C21&lt;=0,"予算未設定",REPT("■",MIN(10,ROUND(D21/C21*10,0)))&amp;REPT("□",10-MIN(10,ROUND(D21/C21*10,0)))&amp;" "&amp;TEXT(D21/C21,"0%")))</f>
        <v>□□□□□□□□□□ 0%</v>
      </c>
      <c r="G21" s="16" t="n">
        <f aca="false">IF($B21="","",ROUNDUP(C21/12,0))</f>
        <v>2500</v>
      </c>
      <c r="H21" s="19" t="n">
        <f aca="false">IF($B21="","",N(設定!E23)+G21*設定!$C$11-D21)</f>
        <v>22500</v>
      </c>
    </row>
    <row r="22" customFormat="false" ht="15" hidden="false" customHeight="false" outlineLevel="0" collapsed="false">
      <c r="B22" s="5" t="str">
        <f aca="false">IF(設定!B24="","",設定!B24)</f>
        <v>年払い（保険・サブスク）</v>
      </c>
      <c r="C22" s="16" t="n">
        <f aca="false">IF($B22="","",N(設定!C24))</f>
        <v>30000</v>
      </c>
      <c r="D22" s="16" t="n">
        <f aca="false">IF($B22="","",SUMIFS(入力!$C$5:$C$1004,入力!$B$5:$B$1004,$B22,入力!$A$5:$A$1004,"&gt;="&amp;設定!$C$8,入力!$A$5:$A$1004,"&lt;="&amp;設定!$C$9))</f>
        <v>0</v>
      </c>
      <c r="E22" s="17" t="n">
        <f aca="false">IF($B22="","",C22-D22)</f>
        <v>30000</v>
      </c>
      <c r="F22" s="18" t="str">
        <f aca="false">IF($B22="","",IF(C22&lt;=0,"予算未設定",REPT("■",MIN(10,ROUND(D22/C22*10,0)))&amp;REPT("□",10-MIN(10,ROUND(D22/C22*10,0)))&amp;" "&amp;TEXT(D22/C22,"0%")))</f>
        <v>□□□□□□□□□□ 0%</v>
      </c>
      <c r="G22" s="16" t="n">
        <f aca="false">IF($B22="","",ROUNDUP(C22/12,0))</f>
        <v>2500</v>
      </c>
      <c r="H22" s="19" t="n">
        <f aca="false">IF($B22="","",N(設定!E24)+G22*設定!$C$11-D22)</f>
        <v>22500</v>
      </c>
    </row>
    <row r="23" customFormat="false" ht="15" hidden="false" customHeight="false" outlineLevel="0" collapsed="false">
      <c r="B23" s="5" t="str">
        <f aca="false">IF(設定!B25="","",設定!B25)</f>
        <v>その他（予備費）</v>
      </c>
      <c r="C23" s="16" t="n">
        <f aca="false">IF($B23="","",N(設定!C25))</f>
        <v>20000</v>
      </c>
      <c r="D23" s="16" t="n">
        <f aca="false">IF($B23="","",SUMIFS(入力!$C$5:$C$1004,入力!$B$5:$B$1004,$B23,入力!$A$5:$A$1004,"&gt;="&amp;設定!$C$8,入力!$A$5:$A$1004,"&lt;="&amp;設定!$C$9))</f>
        <v>0</v>
      </c>
      <c r="E23" s="17" t="n">
        <f aca="false">IF($B23="","",C23-D23)</f>
        <v>20000</v>
      </c>
      <c r="F23" s="18" t="str">
        <f aca="false">IF($B23="","",IF(C23&lt;=0,"予算未設定",REPT("■",MIN(10,ROUND(D23/C23*10,0)))&amp;REPT("□",10-MIN(10,ROUND(D23/C23*10,0)))&amp;" "&amp;TEXT(D23/C23,"0%")))</f>
        <v>□□□□□□□□□□ 0%</v>
      </c>
      <c r="G23" s="16" t="n">
        <f aca="false">IF($B23="","",ROUNDUP(C23/12,0))</f>
        <v>1667</v>
      </c>
      <c r="H23" s="19" t="n">
        <f aca="false">IF($B23="","",N(設定!E25)+G23*設定!$C$11-D23)</f>
        <v>15003</v>
      </c>
    </row>
    <row r="24" customFormat="false" ht="15" hidden="false" customHeight="false" outlineLevel="0" collapsed="false">
      <c r="B24" s="5" t="str">
        <f aca="false">IF(設定!B26="","",設定!B26)</f>
        <v/>
      </c>
      <c r="C24" s="16" t="str">
        <f aca="false">IF($B24="","",N(設定!C26))</f>
        <v/>
      </c>
      <c r="D24" s="16" t="str">
        <f aca="false">IF($B24="","",SUMIFS(入力!$C$5:$C$1004,入力!$B$5:$B$1004,$B24,入力!$A$5:$A$1004,"&gt;="&amp;設定!$C$8,入力!$A$5:$A$1004,"&lt;="&amp;設定!$C$9))</f>
        <v/>
      </c>
      <c r="E24" s="17" t="str">
        <f aca="false">IF($B24="","",C24-D24)</f>
        <v/>
      </c>
      <c r="F24" s="18" t="str">
        <f aca="false">IF($B24="","",IF(C24&lt;=0,"予算未設定",REPT("■",MIN(10,ROUND(D24/C24*10,0)))&amp;REPT("□",10-MIN(10,ROUND(D24/C24*10,0)))&amp;" "&amp;TEXT(D24/C24,"0%")))</f>
        <v/>
      </c>
      <c r="G24" s="16" t="str">
        <f aca="false">IF($B24="","",ROUNDUP(C24/12,0))</f>
        <v/>
      </c>
      <c r="H24" s="19" t="str">
        <f aca="false">IF($B24="","",N(設定!E26)+G24*設定!$C$11-D24)</f>
        <v/>
      </c>
    </row>
    <row r="25" customFormat="false" ht="15" hidden="false" customHeight="false" outlineLevel="0" collapsed="false">
      <c r="B25" s="5" t="str">
        <f aca="false">IF(設定!B27="","",設定!B27)</f>
        <v/>
      </c>
      <c r="C25" s="16" t="str">
        <f aca="false">IF($B25="","",N(設定!C27))</f>
        <v/>
      </c>
      <c r="D25" s="16" t="str">
        <f aca="false">IF($B25="","",SUMIFS(入力!$C$5:$C$1004,入力!$B$5:$B$1004,$B25,入力!$A$5:$A$1004,"&gt;="&amp;設定!$C$8,入力!$A$5:$A$1004,"&lt;="&amp;設定!$C$9))</f>
        <v/>
      </c>
      <c r="E25" s="17" t="str">
        <f aca="false">IF($B25="","",C25-D25)</f>
        <v/>
      </c>
      <c r="F25" s="18" t="str">
        <f aca="false">IF($B25="","",IF(C25&lt;=0,"予算未設定",REPT("■",MIN(10,ROUND(D25/C25*10,0)))&amp;REPT("□",10-MIN(10,ROUND(D25/C25*10,0)))&amp;" "&amp;TEXT(D25/C25,"0%")))</f>
        <v/>
      </c>
      <c r="G25" s="16" t="str">
        <f aca="false">IF($B25="","",ROUNDUP(C25/12,0))</f>
        <v/>
      </c>
      <c r="H25" s="19" t="str">
        <f aca="false">IF($B25="","",N(設定!E27)+G25*設定!$C$11-D25)</f>
        <v/>
      </c>
    </row>
    <row r="26" customFormat="false" ht="15" hidden="false" customHeight="false" outlineLevel="0" collapsed="false">
      <c r="B26" s="5" t="str">
        <f aca="false">IF(設定!B28="","",設定!B28)</f>
        <v/>
      </c>
      <c r="C26" s="16" t="str">
        <f aca="false">IF($B26="","",N(設定!C28))</f>
        <v/>
      </c>
      <c r="D26" s="16" t="str">
        <f aca="false">IF($B26="","",SUMIFS(入力!$C$5:$C$1004,入力!$B$5:$B$1004,$B26,入力!$A$5:$A$1004,"&gt;="&amp;設定!$C$8,入力!$A$5:$A$1004,"&lt;="&amp;設定!$C$9))</f>
        <v/>
      </c>
      <c r="E26" s="17" t="str">
        <f aca="false">IF($B26="","",C26-D26)</f>
        <v/>
      </c>
      <c r="F26" s="18" t="str">
        <f aca="false">IF($B26="","",IF(C26&lt;=0,"予算未設定",REPT("■",MIN(10,ROUND(D26/C26*10,0)))&amp;REPT("□",10-MIN(10,ROUND(D26/C26*10,0)))&amp;" "&amp;TEXT(D26/C26,"0%")))</f>
        <v/>
      </c>
      <c r="G26" s="16" t="str">
        <f aca="false">IF($B26="","",ROUNDUP(C26/12,0))</f>
        <v/>
      </c>
      <c r="H26" s="19" t="str">
        <f aca="false">IF($B26="","",N(設定!E28)+G26*設定!$C$11-D26)</f>
        <v/>
      </c>
    </row>
    <row r="27" customFormat="false" ht="15" hidden="false" customHeight="false" outlineLevel="0" collapsed="false">
      <c r="B27" s="5" t="str">
        <f aca="false">IF(設定!B29="","",設定!B29)</f>
        <v/>
      </c>
      <c r="C27" s="16" t="str">
        <f aca="false">IF($B27="","",N(設定!C29))</f>
        <v/>
      </c>
      <c r="D27" s="16" t="str">
        <f aca="false">IF($B27="","",SUMIFS(入力!$C$5:$C$1004,入力!$B$5:$B$1004,$B27,入力!$A$5:$A$1004,"&gt;="&amp;設定!$C$8,入力!$A$5:$A$1004,"&lt;="&amp;設定!$C$9))</f>
        <v/>
      </c>
      <c r="E27" s="17" t="str">
        <f aca="false">IF($B27="","",C27-D27)</f>
        <v/>
      </c>
      <c r="F27" s="18" t="str">
        <f aca="false">IF($B27="","",IF(C27&lt;=0,"予算未設定",REPT("■",MIN(10,ROUND(D27/C27*10,0)))&amp;REPT("□",10-MIN(10,ROUND(D27/C27*10,0)))&amp;" "&amp;TEXT(D27/C27,"0%")))</f>
        <v/>
      </c>
      <c r="G27" s="16" t="str">
        <f aca="false">IF($B27="","",ROUNDUP(C27/12,0))</f>
        <v/>
      </c>
      <c r="H27" s="19" t="str">
        <f aca="false">IF($B27="","",N(設定!E29)+G27*設定!$C$11-D27)</f>
        <v/>
      </c>
    </row>
    <row r="28" customFormat="false" ht="15" hidden="false" customHeight="false" outlineLevel="0" collapsed="false">
      <c r="B28" s="20" t="s">
        <v>76</v>
      </c>
      <c r="C28" s="21" t="n">
        <f aca="false">SUM(C13:C27)</f>
        <v>460000</v>
      </c>
      <c r="D28" s="21" t="n">
        <f aca="false">SUM(D13:D27)</f>
        <v>0</v>
      </c>
      <c r="E28" s="22" t="n">
        <f aca="false">SUM(E13:E27)</f>
        <v>460000</v>
      </c>
      <c r="F28" s="23"/>
      <c r="G28" s="21" t="n">
        <f aca="false">SUM(G13:G27)</f>
        <v>38336</v>
      </c>
      <c r="H28" s="22" t="n">
        <f aca="false">SUM(H13:H27)</f>
        <v>345024</v>
      </c>
    </row>
    <row r="30" customFormat="false" ht="39.75" hidden="false" customHeight="true" outlineLevel="0" collapsed="false">
      <c r="B30" s="24" t="s">
        <v>77</v>
      </c>
      <c r="C30" s="24"/>
      <c r="D30" s="24"/>
      <c r="E30" s="24"/>
      <c r="F30" s="24"/>
      <c r="G30" s="24"/>
      <c r="H30" s="24"/>
    </row>
  </sheetData>
  <sheetProtection sheet="true"/>
  <mergeCells count="16">
    <mergeCell ref="B1:H1"/>
    <mergeCell ref="B2:H2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H10"/>
    <mergeCell ref="B30:H30"/>
  </mergeCells>
  <conditionalFormatting sqref="E13:E27">
    <cfRule type="cellIs" priority="2" operator="lessThan" aboveAverage="0" equalAverage="0" bottom="0" percent="0" rank="0" text="" dxfId="0">
      <formula>0</formula>
    </cfRule>
  </conditionalFormatting>
  <conditionalFormatting sqref="H13:H27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2"/>
  </cols>
  <sheetData>
    <row r="1" customFormat="false" ht="33.75" hidden="false" customHeight="true" outlineLevel="0" collapsed="false">
      <c r="A1" s="25" t="s">
        <v>78</v>
      </c>
      <c r="B1" s="25"/>
      <c r="C1" s="25"/>
      <c r="D1" s="25"/>
      <c r="E1" s="25"/>
    </row>
    <row r="2" customFormat="false" ht="30" hidden="false" customHeight="true" outlineLevel="0" collapsed="false">
      <c r="A2" s="24" t="s">
        <v>79</v>
      </c>
      <c r="B2" s="24"/>
      <c r="C2" s="24"/>
      <c r="D2" s="24"/>
      <c r="E2" s="24"/>
    </row>
    <row r="3" customFormat="false" ht="24" hidden="false" customHeight="true" outlineLevel="0" collapsed="false">
      <c r="A3" s="15" t="s">
        <v>80</v>
      </c>
      <c r="B3" s="15" t="s">
        <v>69</v>
      </c>
      <c r="C3" s="15" t="s">
        <v>81</v>
      </c>
      <c r="D3" s="15" t="s">
        <v>82</v>
      </c>
      <c r="E3" s="15" t="s">
        <v>83</v>
      </c>
    </row>
    <row r="4" customFormat="false" ht="39.55" hidden="false" customHeight="false" outlineLevel="0" collapsed="false">
      <c r="A4" s="26" t="n">
        <v>46246</v>
      </c>
      <c r="B4" s="27" t="s">
        <v>84</v>
      </c>
      <c r="C4" s="28" t="n">
        <v>18500</v>
      </c>
      <c r="D4" s="29" t="s">
        <v>85</v>
      </c>
      <c r="E4" s="27" t="s">
        <v>86</v>
      </c>
    </row>
    <row r="5" customFormat="false" ht="15" hidden="false" customHeight="false" outlineLevel="0" collapsed="false">
      <c r="A5" s="30"/>
      <c r="B5" s="31"/>
      <c r="C5" s="32"/>
      <c r="D5" s="31"/>
      <c r="E5" s="33" t="str">
        <f aca="false">IF(COUNTA(A5:D5)=0,"",IF(COUNTA(A5:C5)&lt;3,"⚠未入力",IF(OR(A5&lt;設定!$C$8,A5&gt;設定!$C$9),"⚠期間外",IF(COUNTIF(設定!$B$15:$B$29,B5)=0,"⚠項目不明",""))))</f>
        <v/>
      </c>
    </row>
    <row r="6" customFormat="false" ht="15" hidden="false" customHeight="false" outlineLevel="0" collapsed="false">
      <c r="A6" s="30"/>
      <c r="B6" s="31"/>
      <c r="C6" s="32"/>
      <c r="D6" s="31"/>
      <c r="E6" s="33" t="str">
        <f aca="false">IF(COUNTA(A6:D6)=0,"",IF(COUNTA(A6:C6)&lt;3,"⚠未入力",IF(OR(A6&lt;設定!$C$8,A6&gt;設定!$C$9),"⚠期間外",IF(COUNTIF(設定!$B$15:$B$29,B6)=0,"⚠項目不明",""))))</f>
        <v/>
      </c>
    </row>
    <row r="7" customFormat="false" ht="15" hidden="false" customHeight="false" outlineLevel="0" collapsed="false">
      <c r="A7" s="30"/>
      <c r="B7" s="31"/>
      <c r="C7" s="32"/>
      <c r="D7" s="31"/>
      <c r="E7" s="33" t="str">
        <f aca="false">IF(COUNTA(A7:D7)=0,"",IF(COUNTA(A7:C7)&lt;3,"⚠未入力",IF(OR(A7&lt;設定!$C$8,A7&gt;設定!$C$9),"⚠期間外",IF(COUNTIF(設定!$B$15:$B$29,B7)=0,"⚠項目不明",""))))</f>
        <v/>
      </c>
    </row>
    <row r="8" customFormat="false" ht="15" hidden="false" customHeight="false" outlineLevel="0" collapsed="false">
      <c r="A8" s="30"/>
      <c r="B8" s="31"/>
      <c r="C8" s="32"/>
      <c r="D8" s="31"/>
      <c r="E8" s="33" t="str">
        <f aca="false">IF(COUNTA(A8:D8)=0,"",IF(COUNTA(A8:C8)&lt;3,"⚠未入力",IF(OR(A8&lt;設定!$C$8,A8&gt;設定!$C$9),"⚠期間外",IF(COUNTIF(設定!$B$15:$B$29,B8)=0,"⚠項目不明",""))))</f>
        <v/>
      </c>
    </row>
    <row r="9" customFormat="false" ht="15" hidden="false" customHeight="false" outlineLevel="0" collapsed="false">
      <c r="A9" s="30"/>
      <c r="B9" s="31"/>
      <c r="C9" s="32"/>
      <c r="D9" s="31"/>
      <c r="E9" s="33" t="str">
        <f aca="false">IF(COUNTA(A9:D9)=0,"",IF(COUNTA(A9:C9)&lt;3,"⚠未入力",IF(OR(A9&lt;設定!$C$8,A9&gt;設定!$C$9),"⚠期間外",IF(COUNTIF(設定!$B$15:$B$29,B9)=0,"⚠項目不明",""))))</f>
        <v/>
      </c>
    </row>
    <row r="10" customFormat="false" ht="15" hidden="false" customHeight="false" outlineLevel="0" collapsed="false">
      <c r="A10" s="30"/>
      <c r="B10" s="31"/>
      <c r="C10" s="32"/>
      <c r="D10" s="31"/>
      <c r="E10" s="33" t="str">
        <f aca="false">IF(COUNTA(A10:D10)=0,"",IF(COUNTA(A10:C10)&lt;3,"⚠未入力",IF(OR(A10&lt;設定!$C$8,A10&gt;設定!$C$9),"⚠期間外",IF(COUNTIF(設定!$B$15:$B$29,B10)=0,"⚠項目不明",""))))</f>
        <v/>
      </c>
    </row>
    <row r="11" customFormat="false" ht="15" hidden="false" customHeight="false" outlineLevel="0" collapsed="false">
      <c r="A11" s="30"/>
      <c r="B11" s="31"/>
      <c r="C11" s="32"/>
      <c r="D11" s="31"/>
      <c r="E11" s="33" t="str">
        <f aca="false">IF(COUNTA(A11:D11)=0,"",IF(COUNTA(A11:C11)&lt;3,"⚠未入力",IF(OR(A11&lt;設定!$C$8,A11&gt;設定!$C$9),"⚠期間外",IF(COUNTIF(設定!$B$15:$B$29,B11)=0,"⚠項目不明",""))))</f>
        <v/>
      </c>
    </row>
    <row r="12" customFormat="false" ht="15" hidden="false" customHeight="false" outlineLevel="0" collapsed="false">
      <c r="A12" s="30"/>
      <c r="B12" s="31"/>
      <c r="C12" s="32"/>
      <c r="D12" s="31"/>
      <c r="E12" s="33" t="str">
        <f aca="false">IF(COUNTA(A12:D12)=0,"",IF(COUNTA(A12:C12)&lt;3,"⚠未入力",IF(OR(A12&lt;設定!$C$8,A12&gt;設定!$C$9),"⚠期間外",IF(COUNTIF(設定!$B$15:$B$29,B12)=0,"⚠項目不明",""))))</f>
        <v/>
      </c>
    </row>
    <row r="13" customFormat="false" ht="15" hidden="false" customHeight="false" outlineLevel="0" collapsed="false">
      <c r="A13" s="30"/>
      <c r="B13" s="31"/>
      <c r="C13" s="32"/>
      <c r="D13" s="31"/>
      <c r="E13" s="33" t="str">
        <f aca="false">IF(COUNTA(A13:D13)=0,"",IF(COUNTA(A13:C13)&lt;3,"⚠未入力",IF(OR(A13&lt;設定!$C$8,A13&gt;設定!$C$9),"⚠期間外",IF(COUNTIF(設定!$B$15:$B$29,B13)=0,"⚠項目不明",""))))</f>
        <v/>
      </c>
    </row>
    <row r="14" customFormat="false" ht="15" hidden="false" customHeight="false" outlineLevel="0" collapsed="false">
      <c r="A14" s="30"/>
      <c r="B14" s="31"/>
      <c r="C14" s="32"/>
      <c r="D14" s="31"/>
      <c r="E14" s="33" t="str">
        <f aca="false">IF(COUNTA(A14:D14)=0,"",IF(COUNTA(A14:C14)&lt;3,"⚠未入力",IF(OR(A14&lt;設定!$C$8,A14&gt;設定!$C$9),"⚠期間外",IF(COUNTIF(設定!$B$15:$B$29,B14)=0,"⚠項目不明",""))))</f>
        <v/>
      </c>
    </row>
    <row r="15" customFormat="false" ht="15" hidden="false" customHeight="false" outlineLevel="0" collapsed="false">
      <c r="A15" s="30"/>
      <c r="B15" s="31"/>
      <c r="C15" s="32"/>
      <c r="D15" s="31"/>
      <c r="E15" s="33" t="str">
        <f aca="false">IF(COUNTA(A15:D15)=0,"",IF(COUNTA(A15:C15)&lt;3,"⚠未入力",IF(OR(A15&lt;設定!$C$8,A15&gt;設定!$C$9),"⚠期間外",IF(COUNTIF(設定!$B$15:$B$29,B15)=0,"⚠項目不明",""))))</f>
        <v/>
      </c>
    </row>
    <row r="16" customFormat="false" ht="15" hidden="false" customHeight="false" outlineLevel="0" collapsed="false">
      <c r="A16" s="30"/>
      <c r="B16" s="31"/>
      <c r="C16" s="32"/>
      <c r="D16" s="31"/>
      <c r="E16" s="33" t="str">
        <f aca="false">IF(COUNTA(A16:D16)=0,"",IF(COUNTA(A16:C16)&lt;3,"⚠未入力",IF(OR(A16&lt;設定!$C$8,A16&gt;設定!$C$9),"⚠期間外",IF(COUNTIF(設定!$B$15:$B$29,B16)=0,"⚠項目不明",""))))</f>
        <v/>
      </c>
    </row>
    <row r="17" customFormat="false" ht="15" hidden="false" customHeight="false" outlineLevel="0" collapsed="false">
      <c r="A17" s="30"/>
      <c r="B17" s="31"/>
      <c r="C17" s="32"/>
      <c r="D17" s="31"/>
      <c r="E17" s="33" t="str">
        <f aca="false">IF(COUNTA(A17:D17)=0,"",IF(COUNTA(A17:C17)&lt;3,"⚠未入力",IF(OR(A17&lt;設定!$C$8,A17&gt;設定!$C$9),"⚠期間外",IF(COUNTIF(設定!$B$15:$B$29,B17)=0,"⚠項目不明",""))))</f>
        <v/>
      </c>
    </row>
    <row r="18" customFormat="false" ht="15" hidden="false" customHeight="false" outlineLevel="0" collapsed="false">
      <c r="A18" s="30"/>
      <c r="B18" s="31"/>
      <c r="C18" s="32"/>
      <c r="D18" s="31"/>
      <c r="E18" s="33" t="str">
        <f aca="false">IF(COUNTA(A18:D18)=0,"",IF(COUNTA(A18:C18)&lt;3,"⚠未入力",IF(OR(A18&lt;設定!$C$8,A18&gt;設定!$C$9),"⚠期間外",IF(COUNTIF(設定!$B$15:$B$29,B18)=0,"⚠項目不明",""))))</f>
        <v/>
      </c>
    </row>
    <row r="19" customFormat="false" ht="15" hidden="false" customHeight="false" outlineLevel="0" collapsed="false">
      <c r="A19" s="30"/>
      <c r="B19" s="31"/>
      <c r="C19" s="32"/>
      <c r="D19" s="31"/>
      <c r="E19" s="33" t="str">
        <f aca="false">IF(COUNTA(A19:D19)=0,"",IF(COUNTA(A19:C19)&lt;3,"⚠未入力",IF(OR(A19&lt;設定!$C$8,A19&gt;設定!$C$9),"⚠期間外",IF(COUNTIF(設定!$B$15:$B$29,B19)=0,"⚠項目不明",""))))</f>
        <v/>
      </c>
    </row>
    <row r="20" customFormat="false" ht="15" hidden="false" customHeight="false" outlineLevel="0" collapsed="false">
      <c r="A20" s="30"/>
      <c r="B20" s="31"/>
      <c r="C20" s="32"/>
      <c r="D20" s="31"/>
      <c r="E20" s="33" t="str">
        <f aca="false">IF(COUNTA(A20:D20)=0,"",IF(COUNTA(A20:C20)&lt;3,"⚠未入力",IF(OR(A20&lt;設定!$C$8,A20&gt;設定!$C$9),"⚠期間外",IF(COUNTIF(設定!$B$15:$B$29,B20)=0,"⚠項目不明",""))))</f>
        <v/>
      </c>
    </row>
    <row r="21" customFormat="false" ht="15" hidden="false" customHeight="false" outlineLevel="0" collapsed="false">
      <c r="A21" s="30"/>
      <c r="B21" s="31"/>
      <c r="C21" s="32"/>
      <c r="D21" s="31"/>
      <c r="E21" s="33" t="str">
        <f aca="false">IF(COUNTA(A21:D21)=0,"",IF(COUNTA(A21:C21)&lt;3,"⚠未入力",IF(OR(A21&lt;設定!$C$8,A21&gt;設定!$C$9),"⚠期間外",IF(COUNTIF(設定!$B$15:$B$29,B21)=0,"⚠項目不明",""))))</f>
        <v/>
      </c>
    </row>
    <row r="22" customFormat="false" ht="15" hidden="false" customHeight="false" outlineLevel="0" collapsed="false">
      <c r="A22" s="30"/>
      <c r="B22" s="31"/>
      <c r="C22" s="32"/>
      <c r="D22" s="31"/>
      <c r="E22" s="33" t="str">
        <f aca="false">IF(COUNTA(A22:D22)=0,"",IF(COUNTA(A22:C22)&lt;3,"⚠未入力",IF(OR(A22&lt;設定!$C$8,A22&gt;設定!$C$9),"⚠期間外",IF(COUNTIF(設定!$B$15:$B$29,B22)=0,"⚠項目不明",""))))</f>
        <v/>
      </c>
    </row>
    <row r="23" customFormat="false" ht="15" hidden="false" customHeight="false" outlineLevel="0" collapsed="false">
      <c r="A23" s="30"/>
      <c r="B23" s="31"/>
      <c r="C23" s="32"/>
      <c r="D23" s="31"/>
      <c r="E23" s="33" t="str">
        <f aca="false">IF(COUNTA(A23:D23)=0,"",IF(COUNTA(A23:C23)&lt;3,"⚠未入力",IF(OR(A23&lt;設定!$C$8,A23&gt;設定!$C$9),"⚠期間外",IF(COUNTIF(設定!$B$15:$B$29,B23)=0,"⚠項目不明",""))))</f>
        <v/>
      </c>
    </row>
    <row r="24" customFormat="false" ht="15" hidden="false" customHeight="false" outlineLevel="0" collapsed="false">
      <c r="A24" s="30"/>
      <c r="B24" s="31"/>
      <c r="C24" s="32"/>
      <c r="D24" s="31"/>
      <c r="E24" s="33" t="str">
        <f aca="false">IF(COUNTA(A24:D24)=0,"",IF(COUNTA(A24:C24)&lt;3,"⚠未入力",IF(OR(A24&lt;設定!$C$8,A24&gt;設定!$C$9),"⚠期間外",IF(COUNTIF(設定!$B$15:$B$29,B24)=0,"⚠項目不明",""))))</f>
        <v/>
      </c>
    </row>
    <row r="25" customFormat="false" ht="15" hidden="false" customHeight="false" outlineLevel="0" collapsed="false">
      <c r="A25" s="30"/>
      <c r="B25" s="31"/>
      <c r="C25" s="32"/>
      <c r="D25" s="31"/>
      <c r="E25" s="33" t="str">
        <f aca="false">IF(COUNTA(A25:D25)=0,"",IF(COUNTA(A25:C25)&lt;3,"⚠未入力",IF(OR(A25&lt;設定!$C$8,A25&gt;設定!$C$9),"⚠期間外",IF(COUNTIF(設定!$B$15:$B$29,B25)=0,"⚠項目不明",""))))</f>
        <v/>
      </c>
    </row>
    <row r="26" customFormat="false" ht="15" hidden="false" customHeight="false" outlineLevel="0" collapsed="false">
      <c r="A26" s="30"/>
      <c r="B26" s="31"/>
      <c r="C26" s="32"/>
      <c r="D26" s="31"/>
      <c r="E26" s="33" t="str">
        <f aca="false">IF(COUNTA(A26:D26)=0,"",IF(COUNTA(A26:C26)&lt;3,"⚠未入力",IF(OR(A26&lt;設定!$C$8,A26&gt;設定!$C$9),"⚠期間外",IF(COUNTIF(設定!$B$15:$B$29,B26)=0,"⚠項目不明",""))))</f>
        <v/>
      </c>
    </row>
    <row r="27" customFormat="false" ht="15" hidden="false" customHeight="false" outlineLevel="0" collapsed="false">
      <c r="A27" s="30"/>
      <c r="B27" s="31"/>
      <c r="C27" s="32"/>
      <c r="D27" s="31"/>
      <c r="E27" s="33" t="str">
        <f aca="false">IF(COUNTA(A27:D27)=0,"",IF(COUNTA(A27:C27)&lt;3,"⚠未入力",IF(OR(A27&lt;設定!$C$8,A27&gt;設定!$C$9),"⚠期間外",IF(COUNTIF(設定!$B$15:$B$29,B27)=0,"⚠項目不明",""))))</f>
        <v/>
      </c>
    </row>
    <row r="28" customFormat="false" ht="15" hidden="false" customHeight="false" outlineLevel="0" collapsed="false">
      <c r="A28" s="30"/>
      <c r="B28" s="31"/>
      <c r="C28" s="32"/>
      <c r="D28" s="31"/>
      <c r="E28" s="33" t="str">
        <f aca="false">IF(COUNTA(A28:D28)=0,"",IF(COUNTA(A28:C28)&lt;3,"⚠未入力",IF(OR(A28&lt;設定!$C$8,A28&gt;設定!$C$9),"⚠期間外",IF(COUNTIF(設定!$B$15:$B$29,B28)=0,"⚠項目不明",""))))</f>
        <v/>
      </c>
    </row>
    <row r="29" customFormat="false" ht="15" hidden="false" customHeight="false" outlineLevel="0" collapsed="false">
      <c r="A29" s="30"/>
      <c r="B29" s="31"/>
      <c r="C29" s="32"/>
      <c r="D29" s="31"/>
      <c r="E29" s="33" t="str">
        <f aca="false">IF(COUNTA(A29:D29)=0,"",IF(COUNTA(A29:C29)&lt;3,"⚠未入力",IF(OR(A29&lt;設定!$C$8,A29&gt;設定!$C$9),"⚠期間外",IF(COUNTIF(設定!$B$15:$B$29,B29)=0,"⚠項目不明",""))))</f>
        <v/>
      </c>
    </row>
    <row r="30" customFormat="false" ht="15" hidden="false" customHeight="false" outlineLevel="0" collapsed="false">
      <c r="A30" s="30"/>
      <c r="B30" s="31"/>
      <c r="C30" s="32"/>
      <c r="D30" s="31"/>
      <c r="E30" s="33" t="str">
        <f aca="false">IF(COUNTA(A30:D30)=0,"",IF(COUNTA(A30:C30)&lt;3,"⚠未入力",IF(OR(A30&lt;設定!$C$8,A30&gt;設定!$C$9),"⚠期間外",IF(COUNTIF(設定!$B$15:$B$29,B30)=0,"⚠項目不明",""))))</f>
        <v/>
      </c>
    </row>
    <row r="31" customFormat="false" ht="15" hidden="false" customHeight="false" outlineLevel="0" collapsed="false">
      <c r="A31" s="30"/>
      <c r="B31" s="31"/>
      <c r="C31" s="32"/>
      <c r="D31" s="31"/>
      <c r="E31" s="33" t="str">
        <f aca="false">IF(COUNTA(A31:D31)=0,"",IF(COUNTA(A31:C31)&lt;3,"⚠未入力",IF(OR(A31&lt;設定!$C$8,A31&gt;設定!$C$9),"⚠期間外",IF(COUNTIF(設定!$B$15:$B$29,B31)=0,"⚠項目不明",""))))</f>
        <v/>
      </c>
    </row>
    <row r="32" customFormat="false" ht="15" hidden="false" customHeight="false" outlineLevel="0" collapsed="false">
      <c r="A32" s="30"/>
      <c r="B32" s="31"/>
      <c r="C32" s="32"/>
      <c r="D32" s="31"/>
      <c r="E32" s="33" t="str">
        <f aca="false">IF(COUNTA(A32:D32)=0,"",IF(COUNTA(A32:C32)&lt;3,"⚠未入力",IF(OR(A32&lt;設定!$C$8,A32&gt;設定!$C$9),"⚠期間外",IF(COUNTIF(設定!$B$15:$B$29,B32)=0,"⚠項目不明",""))))</f>
        <v/>
      </c>
    </row>
    <row r="33" customFormat="false" ht="15" hidden="false" customHeight="false" outlineLevel="0" collapsed="false">
      <c r="A33" s="30"/>
      <c r="B33" s="31"/>
      <c r="C33" s="32"/>
      <c r="D33" s="31"/>
      <c r="E33" s="33" t="str">
        <f aca="false">IF(COUNTA(A33:D33)=0,"",IF(COUNTA(A33:C33)&lt;3,"⚠未入力",IF(OR(A33&lt;設定!$C$8,A33&gt;設定!$C$9),"⚠期間外",IF(COUNTIF(設定!$B$15:$B$29,B33)=0,"⚠項目不明",""))))</f>
        <v/>
      </c>
    </row>
    <row r="34" customFormat="false" ht="15" hidden="false" customHeight="false" outlineLevel="0" collapsed="false">
      <c r="A34" s="30"/>
      <c r="B34" s="31"/>
      <c r="C34" s="32"/>
      <c r="D34" s="31"/>
      <c r="E34" s="33" t="str">
        <f aca="false">IF(COUNTA(A34:D34)=0,"",IF(COUNTA(A34:C34)&lt;3,"⚠未入力",IF(OR(A34&lt;設定!$C$8,A34&gt;設定!$C$9),"⚠期間外",IF(COUNTIF(設定!$B$15:$B$29,B34)=0,"⚠項目不明",""))))</f>
        <v/>
      </c>
    </row>
    <row r="35" customFormat="false" ht="15" hidden="false" customHeight="false" outlineLevel="0" collapsed="false">
      <c r="A35" s="30"/>
      <c r="B35" s="31"/>
      <c r="C35" s="32"/>
      <c r="D35" s="31"/>
      <c r="E35" s="33" t="str">
        <f aca="false">IF(COUNTA(A35:D35)=0,"",IF(COUNTA(A35:C35)&lt;3,"⚠未入力",IF(OR(A35&lt;設定!$C$8,A35&gt;設定!$C$9),"⚠期間外",IF(COUNTIF(設定!$B$15:$B$29,B35)=0,"⚠項目不明",""))))</f>
        <v/>
      </c>
    </row>
    <row r="36" customFormat="false" ht="15" hidden="false" customHeight="false" outlineLevel="0" collapsed="false">
      <c r="A36" s="30"/>
      <c r="B36" s="31"/>
      <c r="C36" s="32"/>
      <c r="D36" s="31"/>
      <c r="E36" s="33" t="str">
        <f aca="false">IF(COUNTA(A36:D36)=0,"",IF(COUNTA(A36:C36)&lt;3,"⚠未入力",IF(OR(A36&lt;設定!$C$8,A36&gt;設定!$C$9),"⚠期間外",IF(COUNTIF(設定!$B$15:$B$29,B36)=0,"⚠項目不明",""))))</f>
        <v/>
      </c>
    </row>
    <row r="37" customFormat="false" ht="15" hidden="false" customHeight="false" outlineLevel="0" collapsed="false">
      <c r="A37" s="30"/>
      <c r="B37" s="31"/>
      <c r="C37" s="32"/>
      <c r="D37" s="31"/>
      <c r="E37" s="33" t="str">
        <f aca="false">IF(COUNTA(A37:D37)=0,"",IF(COUNTA(A37:C37)&lt;3,"⚠未入力",IF(OR(A37&lt;設定!$C$8,A37&gt;設定!$C$9),"⚠期間外",IF(COUNTIF(設定!$B$15:$B$29,B37)=0,"⚠項目不明",""))))</f>
        <v/>
      </c>
    </row>
    <row r="38" customFormat="false" ht="15" hidden="false" customHeight="false" outlineLevel="0" collapsed="false">
      <c r="A38" s="30"/>
      <c r="B38" s="31"/>
      <c r="C38" s="32"/>
      <c r="D38" s="31"/>
      <c r="E38" s="33" t="str">
        <f aca="false">IF(COUNTA(A38:D38)=0,"",IF(COUNTA(A38:C38)&lt;3,"⚠未入力",IF(OR(A38&lt;設定!$C$8,A38&gt;設定!$C$9),"⚠期間外",IF(COUNTIF(設定!$B$15:$B$29,B38)=0,"⚠項目不明",""))))</f>
        <v/>
      </c>
    </row>
    <row r="39" customFormat="false" ht="15" hidden="false" customHeight="false" outlineLevel="0" collapsed="false">
      <c r="A39" s="30"/>
      <c r="B39" s="31"/>
      <c r="C39" s="32"/>
      <c r="D39" s="31"/>
      <c r="E39" s="33" t="str">
        <f aca="false">IF(COUNTA(A39:D39)=0,"",IF(COUNTA(A39:C39)&lt;3,"⚠未入力",IF(OR(A39&lt;設定!$C$8,A39&gt;設定!$C$9),"⚠期間外",IF(COUNTIF(設定!$B$15:$B$29,B39)=0,"⚠項目不明",""))))</f>
        <v/>
      </c>
    </row>
    <row r="40" customFormat="false" ht="15" hidden="false" customHeight="false" outlineLevel="0" collapsed="false">
      <c r="A40" s="30"/>
      <c r="B40" s="31"/>
      <c r="C40" s="32"/>
      <c r="D40" s="31"/>
      <c r="E40" s="33" t="str">
        <f aca="false">IF(COUNTA(A40:D40)=0,"",IF(COUNTA(A40:C40)&lt;3,"⚠未入力",IF(OR(A40&lt;設定!$C$8,A40&gt;設定!$C$9),"⚠期間外",IF(COUNTIF(設定!$B$15:$B$29,B40)=0,"⚠項目不明",""))))</f>
        <v/>
      </c>
    </row>
    <row r="41" customFormat="false" ht="15" hidden="false" customHeight="false" outlineLevel="0" collapsed="false">
      <c r="A41" s="30"/>
      <c r="B41" s="31"/>
      <c r="C41" s="32"/>
      <c r="D41" s="31"/>
      <c r="E41" s="33" t="str">
        <f aca="false">IF(COUNTA(A41:D41)=0,"",IF(COUNTA(A41:C41)&lt;3,"⚠未入力",IF(OR(A41&lt;設定!$C$8,A41&gt;設定!$C$9),"⚠期間外",IF(COUNTIF(設定!$B$15:$B$29,B41)=0,"⚠項目不明",""))))</f>
        <v/>
      </c>
    </row>
    <row r="42" customFormat="false" ht="15" hidden="false" customHeight="false" outlineLevel="0" collapsed="false">
      <c r="A42" s="30"/>
      <c r="B42" s="31"/>
      <c r="C42" s="32"/>
      <c r="D42" s="31"/>
      <c r="E42" s="33" t="str">
        <f aca="false">IF(COUNTA(A42:D42)=0,"",IF(COUNTA(A42:C42)&lt;3,"⚠未入力",IF(OR(A42&lt;設定!$C$8,A42&gt;設定!$C$9),"⚠期間外",IF(COUNTIF(設定!$B$15:$B$29,B42)=0,"⚠項目不明",""))))</f>
        <v/>
      </c>
    </row>
    <row r="43" customFormat="false" ht="15" hidden="false" customHeight="false" outlineLevel="0" collapsed="false">
      <c r="A43" s="30"/>
      <c r="B43" s="31"/>
      <c r="C43" s="32"/>
      <c r="D43" s="31"/>
      <c r="E43" s="33" t="str">
        <f aca="false">IF(COUNTA(A43:D43)=0,"",IF(COUNTA(A43:C43)&lt;3,"⚠未入力",IF(OR(A43&lt;設定!$C$8,A43&gt;設定!$C$9),"⚠期間外",IF(COUNTIF(設定!$B$15:$B$29,B43)=0,"⚠項目不明",""))))</f>
        <v/>
      </c>
    </row>
    <row r="44" customFormat="false" ht="15" hidden="false" customHeight="false" outlineLevel="0" collapsed="false">
      <c r="A44" s="30"/>
      <c r="B44" s="31"/>
      <c r="C44" s="32"/>
      <c r="D44" s="31"/>
      <c r="E44" s="33" t="str">
        <f aca="false">IF(COUNTA(A44:D44)=0,"",IF(COUNTA(A44:C44)&lt;3,"⚠未入力",IF(OR(A44&lt;設定!$C$8,A44&gt;設定!$C$9),"⚠期間外",IF(COUNTIF(設定!$B$15:$B$29,B44)=0,"⚠項目不明",""))))</f>
        <v/>
      </c>
    </row>
    <row r="45" customFormat="false" ht="15" hidden="false" customHeight="false" outlineLevel="0" collapsed="false">
      <c r="A45" s="30"/>
      <c r="B45" s="31"/>
      <c r="C45" s="32"/>
      <c r="D45" s="31"/>
      <c r="E45" s="33" t="str">
        <f aca="false">IF(COUNTA(A45:D45)=0,"",IF(COUNTA(A45:C45)&lt;3,"⚠未入力",IF(OR(A45&lt;設定!$C$8,A45&gt;設定!$C$9),"⚠期間外",IF(COUNTIF(設定!$B$15:$B$29,B45)=0,"⚠項目不明",""))))</f>
        <v/>
      </c>
    </row>
    <row r="46" customFormat="false" ht="15" hidden="false" customHeight="false" outlineLevel="0" collapsed="false">
      <c r="A46" s="30"/>
      <c r="B46" s="31"/>
      <c r="C46" s="32"/>
      <c r="D46" s="31"/>
      <c r="E46" s="33" t="str">
        <f aca="false">IF(COUNTA(A46:D46)=0,"",IF(COUNTA(A46:C46)&lt;3,"⚠未入力",IF(OR(A46&lt;設定!$C$8,A46&gt;設定!$C$9),"⚠期間外",IF(COUNTIF(設定!$B$15:$B$29,B46)=0,"⚠項目不明",""))))</f>
        <v/>
      </c>
    </row>
    <row r="47" customFormat="false" ht="15" hidden="false" customHeight="false" outlineLevel="0" collapsed="false">
      <c r="A47" s="30"/>
      <c r="B47" s="31"/>
      <c r="C47" s="32"/>
      <c r="D47" s="31"/>
      <c r="E47" s="33" t="str">
        <f aca="false">IF(COUNTA(A47:D47)=0,"",IF(COUNTA(A47:C47)&lt;3,"⚠未入力",IF(OR(A47&lt;設定!$C$8,A47&gt;設定!$C$9),"⚠期間外",IF(COUNTIF(設定!$B$15:$B$29,B47)=0,"⚠項目不明",""))))</f>
        <v/>
      </c>
    </row>
    <row r="48" customFormat="false" ht="15" hidden="false" customHeight="false" outlineLevel="0" collapsed="false">
      <c r="A48" s="30"/>
      <c r="B48" s="31"/>
      <c r="C48" s="32"/>
      <c r="D48" s="31"/>
      <c r="E48" s="33" t="str">
        <f aca="false">IF(COUNTA(A48:D48)=0,"",IF(COUNTA(A48:C48)&lt;3,"⚠未入力",IF(OR(A48&lt;設定!$C$8,A48&gt;設定!$C$9),"⚠期間外",IF(COUNTIF(設定!$B$15:$B$29,B48)=0,"⚠項目不明",""))))</f>
        <v/>
      </c>
    </row>
    <row r="49" customFormat="false" ht="15" hidden="false" customHeight="false" outlineLevel="0" collapsed="false">
      <c r="A49" s="30"/>
      <c r="B49" s="31"/>
      <c r="C49" s="32"/>
      <c r="D49" s="31"/>
      <c r="E49" s="33" t="str">
        <f aca="false">IF(COUNTA(A49:D49)=0,"",IF(COUNTA(A49:C49)&lt;3,"⚠未入力",IF(OR(A49&lt;設定!$C$8,A49&gt;設定!$C$9),"⚠期間外",IF(COUNTIF(設定!$B$15:$B$29,B49)=0,"⚠項目不明",""))))</f>
        <v/>
      </c>
    </row>
    <row r="50" customFormat="false" ht="15" hidden="false" customHeight="false" outlineLevel="0" collapsed="false">
      <c r="A50" s="30"/>
      <c r="B50" s="31"/>
      <c r="C50" s="32"/>
      <c r="D50" s="31"/>
      <c r="E50" s="33" t="str">
        <f aca="false">IF(COUNTA(A50:D50)=0,"",IF(COUNTA(A50:C50)&lt;3,"⚠未入力",IF(OR(A50&lt;設定!$C$8,A50&gt;設定!$C$9),"⚠期間外",IF(COUNTIF(設定!$B$15:$B$29,B50)=0,"⚠項目不明",""))))</f>
        <v/>
      </c>
    </row>
    <row r="51" customFormat="false" ht="15" hidden="false" customHeight="false" outlineLevel="0" collapsed="false">
      <c r="A51" s="30"/>
      <c r="B51" s="31"/>
      <c r="C51" s="32"/>
      <c r="D51" s="31"/>
      <c r="E51" s="33" t="str">
        <f aca="false">IF(COUNTA(A51:D51)=0,"",IF(COUNTA(A51:C51)&lt;3,"⚠未入力",IF(OR(A51&lt;設定!$C$8,A51&gt;設定!$C$9),"⚠期間外",IF(COUNTIF(設定!$B$15:$B$29,B51)=0,"⚠項目不明",""))))</f>
        <v/>
      </c>
    </row>
    <row r="52" customFormat="false" ht="15" hidden="false" customHeight="false" outlineLevel="0" collapsed="false">
      <c r="A52" s="30"/>
      <c r="B52" s="31"/>
      <c r="C52" s="32"/>
      <c r="D52" s="31"/>
      <c r="E52" s="33" t="str">
        <f aca="false">IF(COUNTA(A52:D52)=0,"",IF(COUNTA(A52:C52)&lt;3,"⚠未入力",IF(OR(A52&lt;設定!$C$8,A52&gt;設定!$C$9),"⚠期間外",IF(COUNTIF(設定!$B$15:$B$29,B52)=0,"⚠項目不明",""))))</f>
        <v/>
      </c>
    </row>
    <row r="53" customFormat="false" ht="15" hidden="false" customHeight="false" outlineLevel="0" collapsed="false">
      <c r="A53" s="30"/>
      <c r="B53" s="31"/>
      <c r="C53" s="32"/>
      <c r="D53" s="31"/>
      <c r="E53" s="33" t="str">
        <f aca="false">IF(COUNTA(A53:D53)=0,"",IF(COUNTA(A53:C53)&lt;3,"⚠未入力",IF(OR(A53&lt;設定!$C$8,A53&gt;設定!$C$9),"⚠期間外",IF(COUNTIF(設定!$B$15:$B$29,B53)=0,"⚠項目不明",""))))</f>
        <v/>
      </c>
    </row>
    <row r="54" customFormat="false" ht="15" hidden="false" customHeight="false" outlineLevel="0" collapsed="false">
      <c r="A54" s="30"/>
      <c r="B54" s="31"/>
      <c r="C54" s="32"/>
      <c r="D54" s="31"/>
      <c r="E54" s="33" t="str">
        <f aca="false">IF(COUNTA(A54:D54)=0,"",IF(COUNTA(A54:C54)&lt;3,"⚠未入力",IF(OR(A54&lt;設定!$C$8,A54&gt;設定!$C$9),"⚠期間外",IF(COUNTIF(設定!$B$15:$B$29,B54)=0,"⚠項目不明",""))))</f>
        <v/>
      </c>
    </row>
    <row r="55" customFormat="false" ht="15" hidden="false" customHeight="false" outlineLevel="0" collapsed="false">
      <c r="A55" s="30"/>
      <c r="B55" s="31"/>
      <c r="C55" s="32"/>
      <c r="D55" s="31"/>
      <c r="E55" s="33" t="str">
        <f aca="false">IF(COUNTA(A55:D55)=0,"",IF(COUNTA(A55:C55)&lt;3,"⚠未入力",IF(OR(A55&lt;設定!$C$8,A55&gt;設定!$C$9),"⚠期間外",IF(COUNTIF(設定!$B$15:$B$29,B55)=0,"⚠項目不明",""))))</f>
        <v/>
      </c>
    </row>
    <row r="56" customFormat="false" ht="15" hidden="false" customHeight="false" outlineLevel="0" collapsed="false">
      <c r="A56" s="30"/>
      <c r="B56" s="31"/>
      <c r="C56" s="32"/>
      <c r="D56" s="31"/>
      <c r="E56" s="33" t="str">
        <f aca="false">IF(COUNTA(A56:D56)=0,"",IF(COUNTA(A56:C56)&lt;3,"⚠未入力",IF(OR(A56&lt;設定!$C$8,A56&gt;設定!$C$9),"⚠期間外",IF(COUNTIF(設定!$B$15:$B$29,B56)=0,"⚠項目不明",""))))</f>
        <v/>
      </c>
    </row>
    <row r="57" customFormat="false" ht="15" hidden="false" customHeight="false" outlineLevel="0" collapsed="false">
      <c r="A57" s="30"/>
      <c r="B57" s="31"/>
      <c r="C57" s="32"/>
      <c r="D57" s="31"/>
      <c r="E57" s="33" t="str">
        <f aca="false">IF(COUNTA(A57:D57)=0,"",IF(COUNTA(A57:C57)&lt;3,"⚠未入力",IF(OR(A57&lt;設定!$C$8,A57&gt;設定!$C$9),"⚠期間外",IF(COUNTIF(設定!$B$15:$B$29,B57)=0,"⚠項目不明",""))))</f>
        <v/>
      </c>
    </row>
    <row r="58" customFormat="false" ht="15" hidden="false" customHeight="false" outlineLevel="0" collapsed="false">
      <c r="A58" s="30"/>
      <c r="B58" s="31"/>
      <c r="C58" s="32"/>
      <c r="D58" s="31"/>
      <c r="E58" s="33" t="str">
        <f aca="false">IF(COUNTA(A58:D58)=0,"",IF(COUNTA(A58:C58)&lt;3,"⚠未入力",IF(OR(A58&lt;設定!$C$8,A58&gt;設定!$C$9),"⚠期間外",IF(COUNTIF(設定!$B$15:$B$29,B58)=0,"⚠項目不明",""))))</f>
        <v/>
      </c>
    </row>
    <row r="59" customFormat="false" ht="15" hidden="false" customHeight="false" outlineLevel="0" collapsed="false">
      <c r="A59" s="30"/>
      <c r="B59" s="31"/>
      <c r="C59" s="32"/>
      <c r="D59" s="31"/>
      <c r="E59" s="33" t="str">
        <f aca="false">IF(COUNTA(A59:D59)=0,"",IF(COUNTA(A59:C59)&lt;3,"⚠未入力",IF(OR(A59&lt;設定!$C$8,A59&gt;設定!$C$9),"⚠期間外",IF(COUNTIF(設定!$B$15:$B$29,B59)=0,"⚠項目不明",""))))</f>
        <v/>
      </c>
    </row>
    <row r="60" customFormat="false" ht="15" hidden="false" customHeight="false" outlineLevel="0" collapsed="false">
      <c r="A60" s="30"/>
      <c r="B60" s="31"/>
      <c r="C60" s="32"/>
      <c r="D60" s="31"/>
      <c r="E60" s="33" t="str">
        <f aca="false">IF(COUNTA(A60:D60)=0,"",IF(COUNTA(A60:C60)&lt;3,"⚠未入力",IF(OR(A60&lt;設定!$C$8,A60&gt;設定!$C$9),"⚠期間外",IF(COUNTIF(設定!$B$15:$B$29,B60)=0,"⚠項目不明",""))))</f>
        <v/>
      </c>
    </row>
    <row r="61" customFormat="false" ht="15" hidden="false" customHeight="false" outlineLevel="0" collapsed="false">
      <c r="A61" s="30"/>
      <c r="B61" s="31"/>
      <c r="C61" s="32"/>
      <c r="D61" s="31"/>
      <c r="E61" s="33" t="str">
        <f aca="false">IF(COUNTA(A61:D61)=0,"",IF(COUNTA(A61:C61)&lt;3,"⚠未入力",IF(OR(A61&lt;設定!$C$8,A61&gt;設定!$C$9),"⚠期間外",IF(COUNTIF(設定!$B$15:$B$29,B61)=0,"⚠項目不明",""))))</f>
        <v/>
      </c>
    </row>
    <row r="62" customFormat="false" ht="15" hidden="false" customHeight="false" outlineLevel="0" collapsed="false">
      <c r="A62" s="30"/>
      <c r="B62" s="31"/>
      <c r="C62" s="32"/>
      <c r="D62" s="31"/>
      <c r="E62" s="33" t="str">
        <f aca="false">IF(COUNTA(A62:D62)=0,"",IF(COUNTA(A62:C62)&lt;3,"⚠未入力",IF(OR(A62&lt;設定!$C$8,A62&gt;設定!$C$9),"⚠期間外",IF(COUNTIF(設定!$B$15:$B$29,B62)=0,"⚠項目不明",""))))</f>
        <v/>
      </c>
    </row>
    <row r="63" customFormat="false" ht="15" hidden="false" customHeight="false" outlineLevel="0" collapsed="false">
      <c r="A63" s="30"/>
      <c r="B63" s="31"/>
      <c r="C63" s="32"/>
      <c r="D63" s="31"/>
      <c r="E63" s="33" t="str">
        <f aca="false">IF(COUNTA(A63:D63)=0,"",IF(COUNTA(A63:C63)&lt;3,"⚠未入力",IF(OR(A63&lt;設定!$C$8,A63&gt;設定!$C$9),"⚠期間外",IF(COUNTIF(設定!$B$15:$B$29,B63)=0,"⚠項目不明",""))))</f>
        <v/>
      </c>
    </row>
    <row r="64" customFormat="false" ht="15" hidden="false" customHeight="false" outlineLevel="0" collapsed="false">
      <c r="A64" s="30"/>
      <c r="B64" s="31"/>
      <c r="C64" s="32"/>
      <c r="D64" s="31"/>
      <c r="E64" s="33" t="str">
        <f aca="false">IF(COUNTA(A64:D64)=0,"",IF(COUNTA(A64:C64)&lt;3,"⚠未入力",IF(OR(A64&lt;設定!$C$8,A64&gt;設定!$C$9),"⚠期間外",IF(COUNTIF(設定!$B$15:$B$29,B64)=0,"⚠項目不明",""))))</f>
        <v/>
      </c>
    </row>
    <row r="65" customFormat="false" ht="15" hidden="false" customHeight="false" outlineLevel="0" collapsed="false">
      <c r="A65" s="30"/>
      <c r="B65" s="31"/>
      <c r="C65" s="32"/>
      <c r="D65" s="31"/>
      <c r="E65" s="33" t="str">
        <f aca="false">IF(COUNTA(A65:D65)=0,"",IF(COUNTA(A65:C65)&lt;3,"⚠未入力",IF(OR(A65&lt;設定!$C$8,A65&gt;設定!$C$9),"⚠期間外",IF(COUNTIF(設定!$B$15:$B$29,B65)=0,"⚠項目不明",""))))</f>
        <v/>
      </c>
    </row>
    <row r="66" customFormat="false" ht="15" hidden="false" customHeight="false" outlineLevel="0" collapsed="false">
      <c r="A66" s="30"/>
      <c r="B66" s="31"/>
      <c r="C66" s="32"/>
      <c r="D66" s="31"/>
      <c r="E66" s="33" t="str">
        <f aca="false">IF(COUNTA(A66:D66)=0,"",IF(COUNTA(A66:C66)&lt;3,"⚠未入力",IF(OR(A66&lt;設定!$C$8,A66&gt;設定!$C$9),"⚠期間外",IF(COUNTIF(設定!$B$15:$B$29,B66)=0,"⚠項目不明",""))))</f>
        <v/>
      </c>
    </row>
    <row r="67" customFormat="false" ht="15" hidden="false" customHeight="false" outlineLevel="0" collapsed="false">
      <c r="A67" s="30"/>
      <c r="B67" s="31"/>
      <c r="C67" s="32"/>
      <c r="D67" s="31"/>
      <c r="E67" s="33" t="str">
        <f aca="false">IF(COUNTA(A67:D67)=0,"",IF(COUNTA(A67:C67)&lt;3,"⚠未入力",IF(OR(A67&lt;設定!$C$8,A67&gt;設定!$C$9),"⚠期間外",IF(COUNTIF(設定!$B$15:$B$29,B67)=0,"⚠項目不明",""))))</f>
        <v/>
      </c>
    </row>
    <row r="68" customFormat="false" ht="15" hidden="false" customHeight="false" outlineLevel="0" collapsed="false">
      <c r="A68" s="30"/>
      <c r="B68" s="31"/>
      <c r="C68" s="32"/>
      <c r="D68" s="31"/>
      <c r="E68" s="33" t="str">
        <f aca="false">IF(COUNTA(A68:D68)=0,"",IF(COUNTA(A68:C68)&lt;3,"⚠未入力",IF(OR(A68&lt;設定!$C$8,A68&gt;設定!$C$9),"⚠期間外",IF(COUNTIF(設定!$B$15:$B$29,B68)=0,"⚠項目不明",""))))</f>
        <v/>
      </c>
    </row>
    <row r="69" customFormat="false" ht="15" hidden="false" customHeight="false" outlineLevel="0" collapsed="false">
      <c r="A69" s="30"/>
      <c r="B69" s="31"/>
      <c r="C69" s="32"/>
      <c r="D69" s="31"/>
      <c r="E69" s="33" t="str">
        <f aca="false">IF(COUNTA(A69:D69)=0,"",IF(COUNTA(A69:C69)&lt;3,"⚠未入力",IF(OR(A69&lt;設定!$C$8,A69&gt;設定!$C$9),"⚠期間外",IF(COUNTIF(設定!$B$15:$B$29,B69)=0,"⚠項目不明",""))))</f>
        <v/>
      </c>
    </row>
    <row r="70" customFormat="false" ht="15" hidden="false" customHeight="false" outlineLevel="0" collapsed="false">
      <c r="A70" s="30"/>
      <c r="B70" s="31"/>
      <c r="C70" s="32"/>
      <c r="D70" s="31"/>
      <c r="E70" s="33" t="str">
        <f aca="false">IF(COUNTA(A70:D70)=0,"",IF(COUNTA(A70:C70)&lt;3,"⚠未入力",IF(OR(A70&lt;設定!$C$8,A70&gt;設定!$C$9),"⚠期間外",IF(COUNTIF(設定!$B$15:$B$29,B70)=0,"⚠項目不明",""))))</f>
        <v/>
      </c>
    </row>
    <row r="71" customFormat="false" ht="15" hidden="false" customHeight="false" outlineLevel="0" collapsed="false">
      <c r="A71" s="30"/>
      <c r="B71" s="31"/>
      <c r="C71" s="32"/>
      <c r="D71" s="31"/>
      <c r="E71" s="33" t="str">
        <f aca="false">IF(COUNTA(A71:D71)=0,"",IF(COUNTA(A71:C71)&lt;3,"⚠未入力",IF(OR(A71&lt;設定!$C$8,A71&gt;設定!$C$9),"⚠期間外",IF(COUNTIF(設定!$B$15:$B$29,B71)=0,"⚠項目不明",""))))</f>
        <v/>
      </c>
    </row>
    <row r="72" customFormat="false" ht="15" hidden="false" customHeight="false" outlineLevel="0" collapsed="false">
      <c r="A72" s="30"/>
      <c r="B72" s="31"/>
      <c r="C72" s="32"/>
      <c r="D72" s="31"/>
      <c r="E72" s="33" t="str">
        <f aca="false">IF(COUNTA(A72:D72)=0,"",IF(COUNTA(A72:C72)&lt;3,"⚠未入力",IF(OR(A72&lt;設定!$C$8,A72&gt;設定!$C$9),"⚠期間外",IF(COUNTIF(設定!$B$15:$B$29,B72)=0,"⚠項目不明",""))))</f>
        <v/>
      </c>
    </row>
    <row r="73" customFormat="false" ht="15" hidden="false" customHeight="false" outlineLevel="0" collapsed="false">
      <c r="A73" s="30"/>
      <c r="B73" s="31"/>
      <c r="C73" s="32"/>
      <c r="D73" s="31"/>
      <c r="E73" s="33" t="str">
        <f aca="false">IF(COUNTA(A73:D73)=0,"",IF(COUNTA(A73:C73)&lt;3,"⚠未入力",IF(OR(A73&lt;設定!$C$8,A73&gt;設定!$C$9),"⚠期間外",IF(COUNTIF(設定!$B$15:$B$29,B73)=0,"⚠項目不明",""))))</f>
        <v/>
      </c>
    </row>
    <row r="74" customFormat="false" ht="15" hidden="false" customHeight="false" outlineLevel="0" collapsed="false">
      <c r="A74" s="30"/>
      <c r="B74" s="31"/>
      <c r="C74" s="32"/>
      <c r="D74" s="31"/>
      <c r="E74" s="33" t="str">
        <f aca="false">IF(COUNTA(A74:D74)=0,"",IF(COUNTA(A74:C74)&lt;3,"⚠未入力",IF(OR(A74&lt;設定!$C$8,A74&gt;設定!$C$9),"⚠期間外",IF(COUNTIF(設定!$B$15:$B$29,B74)=0,"⚠項目不明",""))))</f>
        <v/>
      </c>
    </row>
    <row r="75" customFormat="false" ht="15" hidden="false" customHeight="false" outlineLevel="0" collapsed="false">
      <c r="A75" s="30"/>
      <c r="B75" s="31"/>
      <c r="C75" s="32"/>
      <c r="D75" s="31"/>
      <c r="E75" s="33" t="str">
        <f aca="false">IF(COUNTA(A75:D75)=0,"",IF(COUNTA(A75:C75)&lt;3,"⚠未入力",IF(OR(A75&lt;設定!$C$8,A75&gt;設定!$C$9),"⚠期間外",IF(COUNTIF(設定!$B$15:$B$29,B75)=0,"⚠項目不明",""))))</f>
        <v/>
      </c>
    </row>
    <row r="76" customFormat="false" ht="15" hidden="false" customHeight="false" outlineLevel="0" collapsed="false">
      <c r="A76" s="30"/>
      <c r="B76" s="31"/>
      <c r="C76" s="32"/>
      <c r="D76" s="31"/>
      <c r="E76" s="33" t="str">
        <f aca="false">IF(COUNTA(A76:D76)=0,"",IF(COUNTA(A76:C76)&lt;3,"⚠未入力",IF(OR(A76&lt;設定!$C$8,A76&gt;設定!$C$9),"⚠期間外",IF(COUNTIF(設定!$B$15:$B$29,B76)=0,"⚠項目不明",""))))</f>
        <v/>
      </c>
    </row>
    <row r="77" customFormat="false" ht="15" hidden="false" customHeight="false" outlineLevel="0" collapsed="false">
      <c r="A77" s="30"/>
      <c r="B77" s="31"/>
      <c r="C77" s="32"/>
      <c r="D77" s="31"/>
      <c r="E77" s="33" t="str">
        <f aca="false">IF(COUNTA(A77:D77)=0,"",IF(COUNTA(A77:C77)&lt;3,"⚠未入力",IF(OR(A77&lt;設定!$C$8,A77&gt;設定!$C$9),"⚠期間外",IF(COUNTIF(設定!$B$15:$B$29,B77)=0,"⚠項目不明",""))))</f>
        <v/>
      </c>
    </row>
    <row r="78" customFormat="false" ht="15" hidden="false" customHeight="false" outlineLevel="0" collapsed="false">
      <c r="A78" s="30"/>
      <c r="B78" s="31"/>
      <c r="C78" s="32"/>
      <c r="D78" s="31"/>
      <c r="E78" s="33" t="str">
        <f aca="false">IF(COUNTA(A78:D78)=0,"",IF(COUNTA(A78:C78)&lt;3,"⚠未入力",IF(OR(A78&lt;設定!$C$8,A78&gt;設定!$C$9),"⚠期間外",IF(COUNTIF(設定!$B$15:$B$29,B78)=0,"⚠項目不明",""))))</f>
        <v/>
      </c>
    </row>
    <row r="79" customFormat="false" ht="15" hidden="false" customHeight="false" outlineLevel="0" collapsed="false">
      <c r="A79" s="30"/>
      <c r="B79" s="31"/>
      <c r="C79" s="32"/>
      <c r="D79" s="31"/>
      <c r="E79" s="33" t="str">
        <f aca="false">IF(COUNTA(A79:D79)=0,"",IF(COUNTA(A79:C79)&lt;3,"⚠未入力",IF(OR(A79&lt;設定!$C$8,A79&gt;設定!$C$9),"⚠期間外",IF(COUNTIF(設定!$B$15:$B$29,B79)=0,"⚠項目不明",""))))</f>
        <v/>
      </c>
    </row>
    <row r="80" customFormat="false" ht="15" hidden="false" customHeight="false" outlineLevel="0" collapsed="false">
      <c r="A80" s="30"/>
      <c r="B80" s="31"/>
      <c r="C80" s="32"/>
      <c r="D80" s="31"/>
      <c r="E80" s="33" t="str">
        <f aca="false">IF(COUNTA(A80:D80)=0,"",IF(COUNTA(A80:C80)&lt;3,"⚠未入力",IF(OR(A80&lt;設定!$C$8,A80&gt;設定!$C$9),"⚠期間外",IF(COUNTIF(設定!$B$15:$B$29,B80)=0,"⚠項目不明",""))))</f>
        <v/>
      </c>
    </row>
    <row r="81" customFormat="false" ht="15" hidden="false" customHeight="false" outlineLevel="0" collapsed="false">
      <c r="A81" s="30"/>
      <c r="B81" s="31"/>
      <c r="C81" s="32"/>
      <c r="D81" s="31"/>
      <c r="E81" s="33" t="str">
        <f aca="false">IF(COUNTA(A81:D81)=0,"",IF(COUNTA(A81:C81)&lt;3,"⚠未入力",IF(OR(A81&lt;設定!$C$8,A81&gt;設定!$C$9),"⚠期間外",IF(COUNTIF(設定!$B$15:$B$29,B81)=0,"⚠項目不明",""))))</f>
        <v/>
      </c>
    </row>
    <row r="82" customFormat="false" ht="15" hidden="false" customHeight="false" outlineLevel="0" collapsed="false">
      <c r="A82" s="30"/>
      <c r="B82" s="31"/>
      <c r="C82" s="32"/>
      <c r="D82" s="31"/>
      <c r="E82" s="33" t="str">
        <f aca="false">IF(COUNTA(A82:D82)=0,"",IF(COUNTA(A82:C82)&lt;3,"⚠未入力",IF(OR(A82&lt;設定!$C$8,A82&gt;設定!$C$9),"⚠期間外",IF(COUNTIF(設定!$B$15:$B$29,B82)=0,"⚠項目不明",""))))</f>
        <v/>
      </c>
    </row>
    <row r="83" customFormat="false" ht="15" hidden="false" customHeight="false" outlineLevel="0" collapsed="false">
      <c r="A83" s="30"/>
      <c r="B83" s="31"/>
      <c r="C83" s="32"/>
      <c r="D83" s="31"/>
      <c r="E83" s="33" t="str">
        <f aca="false">IF(COUNTA(A83:D83)=0,"",IF(COUNTA(A83:C83)&lt;3,"⚠未入力",IF(OR(A83&lt;設定!$C$8,A83&gt;設定!$C$9),"⚠期間外",IF(COUNTIF(設定!$B$15:$B$29,B83)=0,"⚠項目不明",""))))</f>
        <v/>
      </c>
    </row>
    <row r="84" customFormat="false" ht="15" hidden="false" customHeight="false" outlineLevel="0" collapsed="false">
      <c r="A84" s="30"/>
      <c r="B84" s="31"/>
      <c r="C84" s="32"/>
      <c r="D84" s="31"/>
      <c r="E84" s="33" t="str">
        <f aca="false">IF(COUNTA(A84:D84)=0,"",IF(COUNTA(A84:C84)&lt;3,"⚠未入力",IF(OR(A84&lt;設定!$C$8,A84&gt;設定!$C$9),"⚠期間外",IF(COUNTIF(設定!$B$15:$B$29,B84)=0,"⚠項目不明",""))))</f>
        <v/>
      </c>
    </row>
    <row r="85" customFormat="false" ht="15" hidden="false" customHeight="false" outlineLevel="0" collapsed="false">
      <c r="A85" s="30"/>
      <c r="B85" s="31"/>
      <c r="C85" s="32"/>
      <c r="D85" s="31"/>
      <c r="E85" s="33" t="str">
        <f aca="false">IF(COUNTA(A85:D85)=0,"",IF(COUNTA(A85:C85)&lt;3,"⚠未入力",IF(OR(A85&lt;設定!$C$8,A85&gt;設定!$C$9),"⚠期間外",IF(COUNTIF(設定!$B$15:$B$29,B85)=0,"⚠項目不明",""))))</f>
        <v/>
      </c>
    </row>
    <row r="86" customFormat="false" ht="15" hidden="false" customHeight="false" outlineLevel="0" collapsed="false">
      <c r="A86" s="30"/>
      <c r="B86" s="31"/>
      <c r="C86" s="32"/>
      <c r="D86" s="31"/>
      <c r="E86" s="33" t="str">
        <f aca="false">IF(COUNTA(A86:D86)=0,"",IF(COUNTA(A86:C86)&lt;3,"⚠未入力",IF(OR(A86&lt;設定!$C$8,A86&gt;設定!$C$9),"⚠期間外",IF(COUNTIF(設定!$B$15:$B$29,B86)=0,"⚠項目不明",""))))</f>
        <v/>
      </c>
    </row>
    <row r="87" customFormat="false" ht="15" hidden="false" customHeight="false" outlineLevel="0" collapsed="false">
      <c r="A87" s="30"/>
      <c r="B87" s="31"/>
      <c r="C87" s="32"/>
      <c r="D87" s="31"/>
      <c r="E87" s="33" t="str">
        <f aca="false">IF(COUNTA(A87:D87)=0,"",IF(COUNTA(A87:C87)&lt;3,"⚠未入力",IF(OR(A87&lt;設定!$C$8,A87&gt;設定!$C$9),"⚠期間外",IF(COUNTIF(設定!$B$15:$B$29,B87)=0,"⚠項目不明",""))))</f>
        <v/>
      </c>
    </row>
    <row r="88" customFormat="false" ht="15" hidden="false" customHeight="false" outlineLevel="0" collapsed="false">
      <c r="A88" s="30"/>
      <c r="B88" s="31"/>
      <c r="C88" s="32"/>
      <c r="D88" s="31"/>
      <c r="E88" s="33" t="str">
        <f aca="false">IF(COUNTA(A88:D88)=0,"",IF(COUNTA(A88:C88)&lt;3,"⚠未入力",IF(OR(A88&lt;設定!$C$8,A88&gt;設定!$C$9),"⚠期間外",IF(COUNTIF(設定!$B$15:$B$29,B88)=0,"⚠項目不明",""))))</f>
        <v/>
      </c>
    </row>
    <row r="89" customFormat="false" ht="15" hidden="false" customHeight="false" outlineLevel="0" collapsed="false">
      <c r="A89" s="30"/>
      <c r="B89" s="31"/>
      <c r="C89" s="32"/>
      <c r="D89" s="31"/>
      <c r="E89" s="33" t="str">
        <f aca="false">IF(COUNTA(A89:D89)=0,"",IF(COUNTA(A89:C89)&lt;3,"⚠未入力",IF(OR(A89&lt;設定!$C$8,A89&gt;設定!$C$9),"⚠期間外",IF(COUNTIF(設定!$B$15:$B$29,B89)=0,"⚠項目不明",""))))</f>
        <v/>
      </c>
    </row>
    <row r="90" customFormat="false" ht="15" hidden="false" customHeight="false" outlineLevel="0" collapsed="false">
      <c r="A90" s="30"/>
      <c r="B90" s="31"/>
      <c r="C90" s="32"/>
      <c r="D90" s="31"/>
      <c r="E90" s="33" t="str">
        <f aca="false">IF(COUNTA(A90:D90)=0,"",IF(COUNTA(A90:C90)&lt;3,"⚠未入力",IF(OR(A90&lt;設定!$C$8,A90&gt;設定!$C$9),"⚠期間外",IF(COUNTIF(設定!$B$15:$B$29,B90)=0,"⚠項目不明",""))))</f>
        <v/>
      </c>
    </row>
    <row r="91" customFormat="false" ht="15" hidden="false" customHeight="false" outlineLevel="0" collapsed="false">
      <c r="A91" s="30"/>
      <c r="B91" s="31"/>
      <c r="C91" s="32"/>
      <c r="D91" s="31"/>
      <c r="E91" s="33" t="str">
        <f aca="false">IF(COUNTA(A91:D91)=0,"",IF(COUNTA(A91:C91)&lt;3,"⚠未入力",IF(OR(A91&lt;設定!$C$8,A91&gt;設定!$C$9),"⚠期間外",IF(COUNTIF(設定!$B$15:$B$29,B91)=0,"⚠項目不明",""))))</f>
        <v/>
      </c>
    </row>
    <row r="92" customFormat="false" ht="15" hidden="false" customHeight="false" outlineLevel="0" collapsed="false">
      <c r="A92" s="30"/>
      <c r="B92" s="31"/>
      <c r="C92" s="32"/>
      <c r="D92" s="31"/>
      <c r="E92" s="33" t="str">
        <f aca="false">IF(COUNTA(A92:D92)=0,"",IF(COUNTA(A92:C92)&lt;3,"⚠未入力",IF(OR(A92&lt;設定!$C$8,A92&gt;設定!$C$9),"⚠期間外",IF(COUNTIF(設定!$B$15:$B$29,B92)=0,"⚠項目不明",""))))</f>
        <v/>
      </c>
    </row>
    <row r="93" customFormat="false" ht="15" hidden="false" customHeight="false" outlineLevel="0" collapsed="false">
      <c r="A93" s="30"/>
      <c r="B93" s="31"/>
      <c r="C93" s="32"/>
      <c r="D93" s="31"/>
      <c r="E93" s="33" t="str">
        <f aca="false">IF(COUNTA(A93:D93)=0,"",IF(COUNTA(A93:C93)&lt;3,"⚠未入力",IF(OR(A93&lt;設定!$C$8,A93&gt;設定!$C$9),"⚠期間外",IF(COUNTIF(設定!$B$15:$B$29,B93)=0,"⚠項目不明",""))))</f>
        <v/>
      </c>
    </row>
    <row r="94" customFormat="false" ht="15" hidden="false" customHeight="false" outlineLevel="0" collapsed="false">
      <c r="A94" s="30"/>
      <c r="B94" s="31"/>
      <c r="C94" s="32"/>
      <c r="D94" s="31"/>
      <c r="E94" s="33" t="str">
        <f aca="false">IF(COUNTA(A94:D94)=0,"",IF(COUNTA(A94:C94)&lt;3,"⚠未入力",IF(OR(A94&lt;設定!$C$8,A94&gt;設定!$C$9),"⚠期間外",IF(COUNTIF(設定!$B$15:$B$29,B94)=0,"⚠項目不明",""))))</f>
        <v/>
      </c>
    </row>
    <row r="95" customFormat="false" ht="15" hidden="false" customHeight="false" outlineLevel="0" collapsed="false">
      <c r="A95" s="30"/>
      <c r="B95" s="31"/>
      <c r="C95" s="32"/>
      <c r="D95" s="31"/>
      <c r="E95" s="33" t="str">
        <f aca="false">IF(COUNTA(A95:D95)=0,"",IF(COUNTA(A95:C95)&lt;3,"⚠未入力",IF(OR(A95&lt;設定!$C$8,A95&gt;設定!$C$9),"⚠期間外",IF(COUNTIF(設定!$B$15:$B$29,B95)=0,"⚠項目不明",""))))</f>
        <v/>
      </c>
    </row>
    <row r="96" customFormat="false" ht="15" hidden="false" customHeight="false" outlineLevel="0" collapsed="false">
      <c r="A96" s="30"/>
      <c r="B96" s="31"/>
      <c r="C96" s="32"/>
      <c r="D96" s="31"/>
      <c r="E96" s="33" t="str">
        <f aca="false">IF(COUNTA(A96:D96)=0,"",IF(COUNTA(A96:C96)&lt;3,"⚠未入力",IF(OR(A96&lt;設定!$C$8,A96&gt;設定!$C$9),"⚠期間外",IF(COUNTIF(設定!$B$15:$B$29,B96)=0,"⚠項目不明",""))))</f>
        <v/>
      </c>
    </row>
    <row r="97" customFormat="false" ht="15" hidden="false" customHeight="false" outlineLevel="0" collapsed="false">
      <c r="A97" s="30"/>
      <c r="B97" s="31"/>
      <c r="C97" s="32"/>
      <c r="D97" s="31"/>
      <c r="E97" s="33" t="str">
        <f aca="false">IF(COUNTA(A97:D97)=0,"",IF(COUNTA(A97:C97)&lt;3,"⚠未入力",IF(OR(A97&lt;設定!$C$8,A97&gt;設定!$C$9),"⚠期間外",IF(COUNTIF(設定!$B$15:$B$29,B97)=0,"⚠項目不明",""))))</f>
        <v/>
      </c>
    </row>
    <row r="98" customFormat="false" ht="15" hidden="false" customHeight="false" outlineLevel="0" collapsed="false">
      <c r="A98" s="30"/>
      <c r="B98" s="31"/>
      <c r="C98" s="32"/>
      <c r="D98" s="31"/>
      <c r="E98" s="33" t="str">
        <f aca="false">IF(COUNTA(A98:D98)=0,"",IF(COUNTA(A98:C98)&lt;3,"⚠未入力",IF(OR(A98&lt;設定!$C$8,A98&gt;設定!$C$9),"⚠期間外",IF(COUNTIF(設定!$B$15:$B$29,B98)=0,"⚠項目不明",""))))</f>
        <v/>
      </c>
    </row>
    <row r="99" customFormat="false" ht="15" hidden="false" customHeight="false" outlineLevel="0" collapsed="false">
      <c r="A99" s="30"/>
      <c r="B99" s="31"/>
      <c r="C99" s="32"/>
      <c r="D99" s="31"/>
      <c r="E99" s="33" t="str">
        <f aca="false">IF(COUNTA(A99:D99)=0,"",IF(COUNTA(A99:C99)&lt;3,"⚠未入力",IF(OR(A99&lt;設定!$C$8,A99&gt;設定!$C$9),"⚠期間外",IF(COUNTIF(設定!$B$15:$B$29,B99)=0,"⚠項目不明",""))))</f>
        <v/>
      </c>
    </row>
    <row r="100" customFormat="false" ht="15" hidden="false" customHeight="false" outlineLevel="0" collapsed="false">
      <c r="A100" s="30"/>
      <c r="B100" s="31"/>
      <c r="C100" s="32"/>
      <c r="D100" s="31"/>
      <c r="E100" s="33" t="str">
        <f aca="false">IF(COUNTA(A100:D100)=0,"",IF(COUNTA(A100:C100)&lt;3,"⚠未入力",IF(OR(A100&lt;設定!$C$8,A100&gt;設定!$C$9),"⚠期間外",IF(COUNTIF(設定!$B$15:$B$29,B100)=0,"⚠項目不明",""))))</f>
        <v/>
      </c>
    </row>
    <row r="101" customFormat="false" ht="15" hidden="false" customHeight="false" outlineLevel="0" collapsed="false">
      <c r="A101" s="30"/>
      <c r="B101" s="31"/>
      <c r="C101" s="32"/>
      <c r="D101" s="31"/>
      <c r="E101" s="33" t="str">
        <f aca="false">IF(COUNTA(A101:D101)=0,"",IF(COUNTA(A101:C101)&lt;3,"⚠未入力",IF(OR(A101&lt;設定!$C$8,A101&gt;設定!$C$9),"⚠期間外",IF(COUNTIF(設定!$B$15:$B$29,B101)=0,"⚠項目不明",""))))</f>
        <v/>
      </c>
    </row>
    <row r="102" customFormat="false" ht="15" hidden="false" customHeight="false" outlineLevel="0" collapsed="false">
      <c r="A102" s="30"/>
      <c r="B102" s="31"/>
      <c r="C102" s="32"/>
      <c r="D102" s="31"/>
      <c r="E102" s="33" t="str">
        <f aca="false">IF(COUNTA(A102:D102)=0,"",IF(COUNTA(A102:C102)&lt;3,"⚠未入力",IF(OR(A102&lt;設定!$C$8,A102&gt;設定!$C$9),"⚠期間外",IF(COUNTIF(設定!$B$15:$B$29,B102)=0,"⚠項目不明",""))))</f>
        <v/>
      </c>
    </row>
    <row r="103" customFormat="false" ht="15" hidden="false" customHeight="false" outlineLevel="0" collapsed="false">
      <c r="A103" s="30"/>
      <c r="B103" s="31"/>
      <c r="C103" s="32"/>
      <c r="D103" s="31"/>
      <c r="E103" s="33" t="str">
        <f aca="false">IF(COUNTA(A103:D103)=0,"",IF(COUNTA(A103:C103)&lt;3,"⚠未入力",IF(OR(A103&lt;設定!$C$8,A103&gt;設定!$C$9),"⚠期間外",IF(COUNTIF(設定!$B$15:$B$29,B103)=0,"⚠項目不明",""))))</f>
        <v/>
      </c>
    </row>
    <row r="104" customFormat="false" ht="15" hidden="false" customHeight="false" outlineLevel="0" collapsed="false">
      <c r="A104" s="30"/>
      <c r="B104" s="31"/>
      <c r="C104" s="32"/>
      <c r="D104" s="31"/>
      <c r="E104" s="33" t="str">
        <f aca="false">IF(COUNTA(A104:D104)=0,"",IF(COUNTA(A104:C104)&lt;3,"⚠未入力",IF(OR(A104&lt;設定!$C$8,A104&gt;設定!$C$9),"⚠期間外",IF(COUNTIF(設定!$B$15:$B$29,B104)=0,"⚠項目不明",""))))</f>
        <v/>
      </c>
    </row>
    <row r="105" customFormat="false" ht="15" hidden="false" customHeight="false" outlineLevel="0" collapsed="false">
      <c r="A105" s="30"/>
      <c r="B105" s="31"/>
      <c r="C105" s="32"/>
      <c r="D105" s="31"/>
      <c r="E105" s="33" t="str">
        <f aca="false">IF(COUNTA(A105:D105)=0,"",IF(COUNTA(A105:C105)&lt;3,"⚠未入力",IF(OR(A105&lt;設定!$C$8,A105&gt;設定!$C$9),"⚠期間外",IF(COUNTIF(設定!$B$15:$B$29,B105)=0,"⚠項目不明",""))))</f>
        <v/>
      </c>
    </row>
    <row r="106" customFormat="false" ht="15" hidden="false" customHeight="false" outlineLevel="0" collapsed="false">
      <c r="A106" s="30"/>
      <c r="B106" s="31"/>
      <c r="C106" s="32"/>
      <c r="D106" s="31"/>
      <c r="E106" s="33" t="str">
        <f aca="false">IF(COUNTA(A106:D106)=0,"",IF(COUNTA(A106:C106)&lt;3,"⚠未入力",IF(OR(A106&lt;設定!$C$8,A106&gt;設定!$C$9),"⚠期間外",IF(COUNTIF(設定!$B$15:$B$29,B106)=0,"⚠項目不明",""))))</f>
        <v/>
      </c>
    </row>
    <row r="107" customFormat="false" ht="15" hidden="false" customHeight="false" outlineLevel="0" collapsed="false">
      <c r="A107" s="30"/>
      <c r="B107" s="31"/>
      <c r="C107" s="32"/>
      <c r="D107" s="31"/>
      <c r="E107" s="33" t="str">
        <f aca="false">IF(COUNTA(A107:D107)=0,"",IF(COUNTA(A107:C107)&lt;3,"⚠未入力",IF(OR(A107&lt;設定!$C$8,A107&gt;設定!$C$9),"⚠期間外",IF(COUNTIF(設定!$B$15:$B$29,B107)=0,"⚠項目不明",""))))</f>
        <v/>
      </c>
    </row>
    <row r="108" customFormat="false" ht="15" hidden="false" customHeight="false" outlineLevel="0" collapsed="false">
      <c r="A108" s="30"/>
      <c r="B108" s="31"/>
      <c r="C108" s="32"/>
      <c r="D108" s="31"/>
      <c r="E108" s="33" t="str">
        <f aca="false">IF(COUNTA(A108:D108)=0,"",IF(COUNTA(A108:C108)&lt;3,"⚠未入力",IF(OR(A108&lt;設定!$C$8,A108&gt;設定!$C$9),"⚠期間外",IF(COUNTIF(設定!$B$15:$B$29,B108)=0,"⚠項目不明",""))))</f>
        <v/>
      </c>
    </row>
    <row r="109" customFormat="false" ht="15" hidden="false" customHeight="false" outlineLevel="0" collapsed="false">
      <c r="A109" s="30"/>
      <c r="B109" s="31"/>
      <c r="C109" s="32"/>
      <c r="D109" s="31"/>
      <c r="E109" s="33" t="str">
        <f aca="false">IF(COUNTA(A109:D109)=0,"",IF(COUNTA(A109:C109)&lt;3,"⚠未入力",IF(OR(A109&lt;設定!$C$8,A109&gt;設定!$C$9),"⚠期間外",IF(COUNTIF(設定!$B$15:$B$29,B109)=0,"⚠項目不明",""))))</f>
        <v/>
      </c>
    </row>
    <row r="110" customFormat="false" ht="15" hidden="false" customHeight="false" outlineLevel="0" collapsed="false">
      <c r="A110" s="30"/>
      <c r="B110" s="31"/>
      <c r="C110" s="32"/>
      <c r="D110" s="31"/>
      <c r="E110" s="33" t="str">
        <f aca="false">IF(COUNTA(A110:D110)=0,"",IF(COUNTA(A110:C110)&lt;3,"⚠未入力",IF(OR(A110&lt;設定!$C$8,A110&gt;設定!$C$9),"⚠期間外",IF(COUNTIF(設定!$B$15:$B$29,B110)=0,"⚠項目不明",""))))</f>
        <v/>
      </c>
    </row>
    <row r="111" customFormat="false" ht="15" hidden="false" customHeight="false" outlineLevel="0" collapsed="false">
      <c r="A111" s="30"/>
      <c r="B111" s="31"/>
      <c r="C111" s="32"/>
      <c r="D111" s="31"/>
      <c r="E111" s="33" t="str">
        <f aca="false">IF(COUNTA(A111:D111)=0,"",IF(COUNTA(A111:C111)&lt;3,"⚠未入力",IF(OR(A111&lt;設定!$C$8,A111&gt;設定!$C$9),"⚠期間外",IF(COUNTIF(設定!$B$15:$B$29,B111)=0,"⚠項目不明",""))))</f>
        <v/>
      </c>
    </row>
    <row r="112" customFormat="false" ht="15" hidden="false" customHeight="false" outlineLevel="0" collapsed="false">
      <c r="A112" s="30"/>
      <c r="B112" s="31"/>
      <c r="C112" s="32"/>
      <c r="D112" s="31"/>
      <c r="E112" s="33" t="str">
        <f aca="false">IF(COUNTA(A112:D112)=0,"",IF(COUNTA(A112:C112)&lt;3,"⚠未入力",IF(OR(A112&lt;設定!$C$8,A112&gt;設定!$C$9),"⚠期間外",IF(COUNTIF(設定!$B$15:$B$29,B112)=0,"⚠項目不明",""))))</f>
        <v/>
      </c>
    </row>
    <row r="113" customFormat="false" ht="15" hidden="false" customHeight="false" outlineLevel="0" collapsed="false">
      <c r="A113" s="30"/>
      <c r="B113" s="31"/>
      <c r="C113" s="32"/>
      <c r="D113" s="31"/>
      <c r="E113" s="33" t="str">
        <f aca="false">IF(COUNTA(A113:D113)=0,"",IF(COUNTA(A113:C113)&lt;3,"⚠未入力",IF(OR(A113&lt;設定!$C$8,A113&gt;設定!$C$9),"⚠期間外",IF(COUNTIF(設定!$B$15:$B$29,B113)=0,"⚠項目不明",""))))</f>
        <v/>
      </c>
    </row>
    <row r="114" customFormat="false" ht="15" hidden="false" customHeight="false" outlineLevel="0" collapsed="false">
      <c r="A114" s="30"/>
      <c r="B114" s="31"/>
      <c r="C114" s="32"/>
      <c r="D114" s="31"/>
      <c r="E114" s="33" t="str">
        <f aca="false">IF(COUNTA(A114:D114)=0,"",IF(COUNTA(A114:C114)&lt;3,"⚠未入力",IF(OR(A114&lt;設定!$C$8,A114&gt;設定!$C$9),"⚠期間外",IF(COUNTIF(設定!$B$15:$B$29,B114)=0,"⚠項目不明",""))))</f>
        <v/>
      </c>
    </row>
    <row r="115" customFormat="false" ht="15" hidden="false" customHeight="false" outlineLevel="0" collapsed="false">
      <c r="A115" s="30"/>
      <c r="B115" s="31"/>
      <c r="C115" s="32"/>
      <c r="D115" s="31"/>
      <c r="E115" s="33" t="str">
        <f aca="false">IF(COUNTA(A115:D115)=0,"",IF(COUNTA(A115:C115)&lt;3,"⚠未入力",IF(OR(A115&lt;設定!$C$8,A115&gt;設定!$C$9),"⚠期間外",IF(COUNTIF(設定!$B$15:$B$29,B115)=0,"⚠項目不明",""))))</f>
        <v/>
      </c>
    </row>
    <row r="116" customFormat="false" ht="15" hidden="false" customHeight="false" outlineLevel="0" collapsed="false">
      <c r="A116" s="30"/>
      <c r="B116" s="31"/>
      <c r="C116" s="32"/>
      <c r="D116" s="31"/>
      <c r="E116" s="33" t="str">
        <f aca="false">IF(COUNTA(A116:D116)=0,"",IF(COUNTA(A116:C116)&lt;3,"⚠未入力",IF(OR(A116&lt;設定!$C$8,A116&gt;設定!$C$9),"⚠期間外",IF(COUNTIF(設定!$B$15:$B$29,B116)=0,"⚠項目不明",""))))</f>
        <v/>
      </c>
    </row>
    <row r="117" customFormat="false" ht="15" hidden="false" customHeight="false" outlineLevel="0" collapsed="false">
      <c r="A117" s="30"/>
      <c r="B117" s="31"/>
      <c r="C117" s="32"/>
      <c r="D117" s="31"/>
      <c r="E117" s="33" t="str">
        <f aca="false">IF(COUNTA(A117:D117)=0,"",IF(COUNTA(A117:C117)&lt;3,"⚠未入力",IF(OR(A117&lt;設定!$C$8,A117&gt;設定!$C$9),"⚠期間外",IF(COUNTIF(設定!$B$15:$B$29,B117)=0,"⚠項目不明",""))))</f>
        <v/>
      </c>
    </row>
    <row r="118" customFormat="false" ht="15" hidden="false" customHeight="false" outlineLevel="0" collapsed="false">
      <c r="A118" s="30"/>
      <c r="B118" s="31"/>
      <c r="C118" s="32"/>
      <c r="D118" s="31"/>
      <c r="E118" s="33" t="str">
        <f aca="false">IF(COUNTA(A118:D118)=0,"",IF(COUNTA(A118:C118)&lt;3,"⚠未入力",IF(OR(A118&lt;設定!$C$8,A118&gt;設定!$C$9),"⚠期間外",IF(COUNTIF(設定!$B$15:$B$29,B118)=0,"⚠項目不明",""))))</f>
        <v/>
      </c>
    </row>
    <row r="119" customFormat="false" ht="15" hidden="false" customHeight="false" outlineLevel="0" collapsed="false">
      <c r="A119" s="30"/>
      <c r="B119" s="31"/>
      <c r="C119" s="32"/>
      <c r="D119" s="31"/>
      <c r="E119" s="33" t="str">
        <f aca="false">IF(COUNTA(A119:D119)=0,"",IF(COUNTA(A119:C119)&lt;3,"⚠未入力",IF(OR(A119&lt;設定!$C$8,A119&gt;設定!$C$9),"⚠期間外",IF(COUNTIF(設定!$B$15:$B$29,B119)=0,"⚠項目不明",""))))</f>
        <v/>
      </c>
    </row>
    <row r="120" customFormat="false" ht="15" hidden="false" customHeight="false" outlineLevel="0" collapsed="false">
      <c r="A120" s="30"/>
      <c r="B120" s="31"/>
      <c r="C120" s="32"/>
      <c r="D120" s="31"/>
      <c r="E120" s="33" t="str">
        <f aca="false">IF(COUNTA(A120:D120)=0,"",IF(COUNTA(A120:C120)&lt;3,"⚠未入力",IF(OR(A120&lt;設定!$C$8,A120&gt;設定!$C$9),"⚠期間外",IF(COUNTIF(設定!$B$15:$B$29,B120)=0,"⚠項目不明",""))))</f>
        <v/>
      </c>
    </row>
    <row r="121" customFormat="false" ht="15" hidden="false" customHeight="false" outlineLevel="0" collapsed="false">
      <c r="A121" s="30"/>
      <c r="B121" s="31"/>
      <c r="C121" s="32"/>
      <c r="D121" s="31"/>
      <c r="E121" s="33" t="str">
        <f aca="false">IF(COUNTA(A121:D121)=0,"",IF(COUNTA(A121:C121)&lt;3,"⚠未入力",IF(OR(A121&lt;設定!$C$8,A121&gt;設定!$C$9),"⚠期間外",IF(COUNTIF(設定!$B$15:$B$29,B121)=0,"⚠項目不明",""))))</f>
        <v/>
      </c>
    </row>
    <row r="122" customFormat="false" ht="15" hidden="false" customHeight="false" outlineLevel="0" collapsed="false">
      <c r="A122" s="30"/>
      <c r="B122" s="31"/>
      <c r="C122" s="32"/>
      <c r="D122" s="31"/>
      <c r="E122" s="33" t="str">
        <f aca="false">IF(COUNTA(A122:D122)=0,"",IF(COUNTA(A122:C122)&lt;3,"⚠未入力",IF(OR(A122&lt;設定!$C$8,A122&gt;設定!$C$9),"⚠期間外",IF(COUNTIF(設定!$B$15:$B$29,B122)=0,"⚠項目不明",""))))</f>
        <v/>
      </c>
    </row>
    <row r="123" customFormat="false" ht="15" hidden="false" customHeight="false" outlineLevel="0" collapsed="false">
      <c r="A123" s="30"/>
      <c r="B123" s="31"/>
      <c r="C123" s="32"/>
      <c r="D123" s="31"/>
      <c r="E123" s="33" t="str">
        <f aca="false">IF(COUNTA(A123:D123)=0,"",IF(COUNTA(A123:C123)&lt;3,"⚠未入力",IF(OR(A123&lt;設定!$C$8,A123&gt;設定!$C$9),"⚠期間外",IF(COUNTIF(設定!$B$15:$B$29,B123)=0,"⚠項目不明",""))))</f>
        <v/>
      </c>
    </row>
    <row r="124" customFormat="false" ht="15" hidden="false" customHeight="false" outlineLevel="0" collapsed="false">
      <c r="A124" s="30"/>
      <c r="B124" s="31"/>
      <c r="C124" s="32"/>
      <c r="D124" s="31"/>
      <c r="E124" s="33" t="str">
        <f aca="false">IF(COUNTA(A124:D124)=0,"",IF(COUNTA(A124:C124)&lt;3,"⚠未入力",IF(OR(A124&lt;設定!$C$8,A124&gt;設定!$C$9),"⚠期間外",IF(COUNTIF(設定!$B$15:$B$29,B124)=0,"⚠項目不明",""))))</f>
        <v/>
      </c>
    </row>
    <row r="125" customFormat="false" ht="15" hidden="false" customHeight="false" outlineLevel="0" collapsed="false">
      <c r="A125" s="30"/>
      <c r="B125" s="31"/>
      <c r="C125" s="32"/>
      <c r="D125" s="31"/>
      <c r="E125" s="33" t="str">
        <f aca="false">IF(COUNTA(A125:D125)=0,"",IF(COUNTA(A125:C125)&lt;3,"⚠未入力",IF(OR(A125&lt;設定!$C$8,A125&gt;設定!$C$9),"⚠期間外",IF(COUNTIF(設定!$B$15:$B$29,B125)=0,"⚠項目不明",""))))</f>
        <v/>
      </c>
    </row>
    <row r="126" customFormat="false" ht="15" hidden="false" customHeight="false" outlineLevel="0" collapsed="false">
      <c r="A126" s="30"/>
      <c r="B126" s="31"/>
      <c r="C126" s="32"/>
      <c r="D126" s="31"/>
      <c r="E126" s="33" t="str">
        <f aca="false">IF(COUNTA(A126:D126)=0,"",IF(COUNTA(A126:C126)&lt;3,"⚠未入力",IF(OR(A126&lt;設定!$C$8,A126&gt;設定!$C$9),"⚠期間外",IF(COUNTIF(設定!$B$15:$B$29,B126)=0,"⚠項目不明",""))))</f>
        <v/>
      </c>
    </row>
    <row r="127" customFormat="false" ht="15" hidden="false" customHeight="false" outlineLevel="0" collapsed="false">
      <c r="A127" s="30"/>
      <c r="B127" s="31"/>
      <c r="C127" s="32"/>
      <c r="D127" s="31"/>
      <c r="E127" s="33" t="str">
        <f aca="false">IF(COUNTA(A127:D127)=0,"",IF(COUNTA(A127:C127)&lt;3,"⚠未入力",IF(OR(A127&lt;設定!$C$8,A127&gt;設定!$C$9),"⚠期間外",IF(COUNTIF(設定!$B$15:$B$29,B127)=0,"⚠項目不明",""))))</f>
        <v/>
      </c>
    </row>
    <row r="128" customFormat="false" ht="15" hidden="false" customHeight="false" outlineLevel="0" collapsed="false">
      <c r="A128" s="30"/>
      <c r="B128" s="31"/>
      <c r="C128" s="32"/>
      <c r="D128" s="31"/>
      <c r="E128" s="33" t="str">
        <f aca="false">IF(COUNTA(A128:D128)=0,"",IF(COUNTA(A128:C128)&lt;3,"⚠未入力",IF(OR(A128&lt;設定!$C$8,A128&gt;設定!$C$9),"⚠期間外",IF(COUNTIF(設定!$B$15:$B$29,B128)=0,"⚠項目不明",""))))</f>
        <v/>
      </c>
    </row>
    <row r="129" customFormat="false" ht="15" hidden="false" customHeight="false" outlineLevel="0" collapsed="false">
      <c r="A129" s="30"/>
      <c r="B129" s="31"/>
      <c r="C129" s="32"/>
      <c r="D129" s="31"/>
      <c r="E129" s="33" t="str">
        <f aca="false">IF(COUNTA(A129:D129)=0,"",IF(COUNTA(A129:C129)&lt;3,"⚠未入力",IF(OR(A129&lt;設定!$C$8,A129&gt;設定!$C$9),"⚠期間外",IF(COUNTIF(設定!$B$15:$B$29,B129)=0,"⚠項目不明",""))))</f>
        <v/>
      </c>
    </row>
    <row r="130" customFormat="false" ht="15" hidden="false" customHeight="false" outlineLevel="0" collapsed="false">
      <c r="A130" s="30"/>
      <c r="B130" s="31"/>
      <c r="C130" s="32"/>
      <c r="D130" s="31"/>
      <c r="E130" s="33" t="str">
        <f aca="false">IF(COUNTA(A130:D130)=0,"",IF(COUNTA(A130:C130)&lt;3,"⚠未入力",IF(OR(A130&lt;設定!$C$8,A130&gt;設定!$C$9),"⚠期間外",IF(COUNTIF(設定!$B$15:$B$29,B130)=0,"⚠項目不明",""))))</f>
        <v/>
      </c>
    </row>
    <row r="131" customFormat="false" ht="15" hidden="false" customHeight="false" outlineLevel="0" collapsed="false">
      <c r="A131" s="30"/>
      <c r="B131" s="31"/>
      <c r="C131" s="32"/>
      <c r="D131" s="31"/>
      <c r="E131" s="33" t="str">
        <f aca="false">IF(COUNTA(A131:D131)=0,"",IF(COUNTA(A131:C131)&lt;3,"⚠未入力",IF(OR(A131&lt;設定!$C$8,A131&gt;設定!$C$9),"⚠期間外",IF(COUNTIF(設定!$B$15:$B$29,B131)=0,"⚠項目不明",""))))</f>
        <v/>
      </c>
    </row>
    <row r="132" customFormat="false" ht="15" hidden="false" customHeight="false" outlineLevel="0" collapsed="false">
      <c r="A132" s="30"/>
      <c r="B132" s="31"/>
      <c r="C132" s="32"/>
      <c r="D132" s="31"/>
      <c r="E132" s="33" t="str">
        <f aca="false">IF(COUNTA(A132:D132)=0,"",IF(COUNTA(A132:C132)&lt;3,"⚠未入力",IF(OR(A132&lt;設定!$C$8,A132&gt;設定!$C$9),"⚠期間外",IF(COUNTIF(設定!$B$15:$B$29,B132)=0,"⚠項目不明",""))))</f>
        <v/>
      </c>
    </row>
    <row r="133" customFormat="false" ht="15" hidden="false" customHeight="false" outlineLevel="0" collapsed="false">
      <c r="A133" s="30"/>
      <c r="B133" s="31"/>
      <c r="C133" s="32"/>
      <c r="D133" s="31"/>
      <c r="E133" s="33" t="str">
        <f aca="false">IF(COUNTA(A133:D133)=0,"",IF(COUNTA(A133:C133)&lt;3,"⚠未入力",IF(OR(A133&lt;設定!$C$8,A133&gt;設定!$C$9),"⚠期間外",IF(COUNTIF(設定!$B$15:$B$29,B133)=0,"⚠項目不明",""))))</f>
        <v/>
      </c>
    </row>
    <row r="134" customFormat="false" ht="15" hidden="false" customHeight="false" outlineLevel="0" collapsed="false">
      <c r="A134" s="30"/>
      <c r="B134" s="31"/>
      <c r="C134" s="32"/>
      <c r="D134" s="31"/>
      <c r="E134" s="33" t="str">
        <f aca="false">IF(COUNTA(A134:D134)=0,"",IF(COUNTA(A134:C134)&lt;3,"⚠未入力",IF(OR(A134&lt;設定!$C$8,A134&gt;設定!$C$9),"⚠期間外",IF(COUNTIF(設定!$B$15:$B$29,B134)=0,"⚠項目不明",""))))</f>
        <v/>
      </c>
    </row>
    <row r="135" customFormat="false" ht="15" hidden="false" customHeight="false" outlineLevel="0" collapsed="false">
      <c r="A135" s="30"/>
      <c r="B135" s="31"/>
      <c r="C135" s="32"/>
      <c r="D135" s="31"/>
      <c r="E135" s="33" t="str">
        <f aca="false">IF(COUNTA(A135:D135)=0,"",IF(COUNTA(A135:C135)&lt;3,"⚠未入力",IF(OR(A135&lt;設定!$C$8,A135&gt;設定!$C$9),"⚠期間外",IF(COUNTIF(設定!$B$15:$B$29,B135)=0,"⚠項目不明",""))))</f>
        <v/>
      </c>
    </row>
    <row r="136" customFormat="false" ht="15" hidden="false" customHeight="false" outlineLevel="0" collapsed="false">
      <c r="A136" s="30"/>
      <c r="B136" s="31"/>
      <c r="C136" s="32"/>
      <c r="D136" s="31"/>
      <c r="E136" s="33" t="str">
        <f aca="false">IF(COUNTA(A136:D136)=0,"",IF(COUNTA(A136:C136)&lt;3,"⚠未入力",IF(OR(A136&lt;設定!$C$8,A136&gt;設定!$C$9),"⚠期間外",IF(COUNTIF(設定!$B$15:$B$29,B136)=0,"⚠項目不明",""))))</f>
        <v/>
      </c>
    </row>
    <row r="137" customFormat="false" ht="15" hidden="false" customHeight="false" outlineLevel="0" collapsed="false">
      <c r="A137" s="30"/>
      <c r="B137" s="31"/>
      <c r="C137" s="32"/>
      <c r="D137" s="31"/>
      <c r="E137" s="33" t="str">
        <f aca="false">IF(COUNTA(A137:D137)=0,"",IF(COUNTA(A137:C137)&lt;3,"⚠未入力",IF(OR(A137&lt;設定!$C$8,A137&gt;設定!$C$9),"⚠期間外",IF(COUNTIF(設定!$B$15:$B$29,B137)=0,"⚠項目不明",""))))</f>
        <v/>
      </c>
    </row>
    <row r="138" customFormat="false" ht="15" hidden="false" customHeight="false" outlineLevel="0" collapsed="false">
      <c r="A138" s="30"/>
      <c r="B138" s="31"/>
      <c r="C138" s="32"/>
      <c r="D138" s="31"/>
      <c r="E138" s="33" t="str">
        <f aca="false">IF(COUNTA(A138:D138)=0,"",IF(COUNTA(A138:C138)&lt;3,"⚠未入力",IF(OR(A138&lt;設定!$C$8,A138&gt;設定!$C$9),"⚠期間外",IF(COUNTIF(設定!$B$15:$B$29,B138)=0,"⚠項目不明",""))))</f>
        <v/>
      </c>
    </row>
    <row r="139" customFormat="false" ht="15" hidden="false" customHeight="false" outlineLevel="0" collapsed="false">
      <c r="A139" s="30"/>
      <c r="B139" s="31"/>
      <c r="C139" s="32"/>
      <c r="D139" s="31"/>
      <c r="E139" s="33" t="str">
        <f aca="false">IF(COUNTA(A139:D139)=0,"",IF(COUNTA(A139:C139)&lt;3,"⚠未入力",IF(OR(A139&lt;設定!$C$8,A139&gt;設定!$C$9),"⚠期間外",IF(COUNTIF(設定!$B$15:$B$29,B139)=0,"⚠項目不明",""))))</f>
        <v/>
      </c>
    </row>
    <row r="140" customFormat="false" ht="15" hidden="false" customHeight="false" outlineLevel="0" collapsed="false">
      <c r="A140" s="30"/>
      <c r="B140" s="31"/>
      <c r="C140" s="32"/>
      <c r="D140" s="31"/>
      <c r="E140" s="33" t="str">
        <f aca="false">IF(COUNTA(A140:D140)=0,"",IF(COUNTA(A140:C140)&lt;3,"⚠未入力",IF(OR(A140&lt;設定!$C$8,A140&gt;設定!$C$9),"⚠期間外",IF(COUNTIF(設定!$B$15:$B$29,B140)=0,"⚠項目不明",""))))</f>
        <v/>
      </c>
    </row>
    <row r="141" customFormat="false" ht="15" hidden="false" customHeight="false" outlineLevel="0" collapsed="false">
      <c r="A141" s="30"/>
      <c r="B141" s="31"/>
      <c r="C141" s="32"/>
      <c r="D141" s="31"/>
      <c r="E141" s="33" t="str">
        <f aca="false">IF(COUNTA(A141:D141)=0,"",IF(COUNTA(A141:C141)&lt;3,"⚠未入力",IF(OR(A141&lt;設定!$C$8,A141&gt;設定!$C$9),"⚠期間外",IF(COUNTIF(設定!$B$15:$B$29,B141)=0,"⚠項目不明",""))))</f>
        <v/>
      </c>
    </row>
    <row r="142" customFormat="false" ht="15" hidden="false" customHeight="false" outlineLevel="0" collapsed="false">
      <c r="A142" s="30"/>
      <c r="B142" s="31"/>
      <c r="C142" s="32"/>
      <c r="D142" s="31"/>
      <c r="E142" s="33" t="str">
        <f aca="false">IF(COUNTA(A142:D142)=0,"",IF(COUNTA(A142:C142)&lt;3,"⚠未入力",IF(OR(A142&lt;設定!$C$8,A142&gt;設定!$C$9),"⚠期間外",IF(COUNTIF(設定!$B$15:$B$29,B142)=0,"⚠項目不明",""))))</f>
        <v/>
      </c>
    </row>
    <row r="143" customFormat="false" ht="15" hidden="false" customHeight="false" outlineLevel="0" collapsed="false">
      <c r="A143" s="30"/>
      <c r="B143" s="31"/>
      <c r="C143" s="32"/>
      <c r="D143" s="31"/>
      <c r="E143" s="33" t="str">
        <f aca="false">IF(COUNTA(A143:D143)=0,"",IF(COUNTA(A143:C143)&lt;3,"⚠未入力",IF(OR(A143&lt;設定!$C$8,A143&gt;設定!$C$9),"⚠期間外",IF(COUNTIF(設定!$B$15:$B$29,B143)=0,"⚠項目不明",""))))</f>
        <v/>
      </c>
    </row>
    <row r="144" customFormat="false" ht="15" hidden="false" customHeight="false" outlineLevel="0" collapsed="false">
      <c r="A144" s="30"/>
      <c r="B144" s="31"/>
      <c r="C144" s="32"/>
      <c r="D144" s="31"/>
      <c r="E144" s="33" t="str">
        <f aca="false">IF(COUNTA(A144:D144)=0,"",IF(COUNTA(A144:C144)&lt;3,"⚠未入力",IF(OR(A144&lt;設定!$C$8,A144&gt;設定!$C$9),"⚠期間外",IF(COUNTIF(設定!$B$15:$B$29,B144)=0,"⚠項目不明",""))))</f>
        <v/>
      </c>
    </row>
    <row r="145" customFormat="false" ht="15" hidden="false" customHeight="false" outlineLevel="0" collapsed="false">
      <c r="A145" s="30"/>
      <c r="B145" s="31"/>
      <c r="C145" s="32"/>
      <c r="D145" s="31"/>
      <c r="E145" s="33" t="str">
        <f aca="false">IF(COUNTA(A145:D145)=0,"",IF(COUNTA(A145:C145)&lt;3,"⚠未入力",IF(OR(A145&lt;設定!$C$8,A145&gt;設定!$C$9),"⚠期間外",IF(COUNTIF(設定!$B$15:$B$29,B145)=0,"⚠項目不明",""))))</f>
        <v/>
      </c>
    </row>
    <row r="146" customFormat="false" ht="15" hidden="false" customHeight="false" outlineLevel="0" collapsed="false">
      <c r="A146" s="30"/>
      <c r="B146" s="31"/>
      <c r="C146" s="32"/>
      <c r="D146" s="31"/>
      <c r="E146" s="33" t="str">
        <f aca="false">IF(COUNTA(A146:D146)=0,"",IF(COUNTA(A146:C146)&lt;3,"⚠未入力",IF(OR(A146&lt;設定!$C$8,A146&gt;設定!$C$9),"⚠期間外",IF(COUNTIF(設定!$B$15:$B$29,B146)=0,"⚠項目不明",""))))</f>
        <v/>
      </c>
    </row>
    <row r="147" customFormat="false" ht="15" hidden="false" customHeight="false" outlineLevel="0" collapsed="false">
      <c r="A147" s="30"/>
      <c r="B147" s="31"/>
      <c r="C147" s="32"/>
      <c r="D147" s="31"/>
      <c r="E147" s="33" t="str">
        <f aca="false">IF(COUNTA(A147:D147)=0,"",IF(COUNTA(A147:C147)&lt;3,"⚠未入力",IF(OR(A147&lt;設定!$C$8,A147&gt;設定!$C$9),"⚠期間外",IF(COUNTIF(設定!$B$15:$B$29,B147)=0,"⚠項目不明",""))))</f>
        <v/>
      </c>
    </row>
    <row r="148" customFormat="false" ht="15" hidden="false" customHeight="false" outlineLevel="0" collapsed="false">
      <c r="A148" s="30"/>
      <c r="B148" s="31"/>
      <c r="C148" s="32"/>
      <c r="D148" s="31"/>
      <c r="E148" s="33" t="str">
        <f aca="false">IF(COUNTA(A148:D148)=0,"",IF(COUNTA(A148:C148)&lt;3,"⚠未入力",IF(OR(A148&lt;設定!$C$8,A148&gt;設定!$C$9),"⚠期間外",IF(COUNTIF(設定!$B$15:$B$29,B148)=0,"⚠項目不明",""))))</f>
        <v/>
      </c>
    </row>
    <row r="149" customFormat="false" ht="15" hidden="false" customHeight="false" outlineLevel="0" collapsed="false">
      <c r="A149" s="30"/>
      <c r="B149" s="31"/>
      <c r="C149" s="32"/>
      <c r="D149" s="31"/>
      <c r="E149" s="33" t="str">
        <f aca="false">IF(COUNTA(A149:D149)=0,"",IF(COUNTA(A149:C149)&lt;3,"⚠未入力",IF(OR(A149&lt;設定!$C$8,A149&gt;設定!$C$9),"⚠期間外",IF(COUNTIF(設定!$B$15:$B$29,B149)=0,"⚠項目不明",""))))</f>
        <v/>
      </c>
    </row>
    <row r="150" customFormat="false" ht="15" hidden="false" customHeight="false" outlineLevel="0" collapsed="false">
      <c r="A150" s="30"/>
      <c r="B150" s="31"/>
      <c r="C150" s="32"/>
      <c r="D150" s="31"/>
      <c r="E150" s="33" t="str">
        <f aca="false">IF(COUNTA(A150:D150)=0,"",IF(COUNTA(A150:C150)&lt;3,"⚠未入力",IF(OR(A150&lt;設定!$C$8,A150&gt;設定!$C$9),"⚠期間外",IF(COUNTIF(設定!$B$15:$B$29,B150)=0,"⚠項目不明",""))))</f>
        <v/>
      </c>
    </row>
    <row r="151" customFormat="false" ht="15" hidden="false" customHeight="false" outlineLevel="0" collapsed="false">
      <c r="A151" s="30"/>
      <c r="B151" s="31"/>
      <c r="C151" s="32"/>
      <c r="D151" s="31"/>
      <c r="E151" s="33" t="str">
        <f aca="false">IF(COUNTA(A151:D151)=0,"",IF(COUNTA(A151:C151)&lt;3,"⚠未入力",IF(OR(A151&lt;設定!$C$8,A151&gt;設定!$C$9),"⚠期間外",IF(COUNTIF(設定!$B$15:$B$29,B151)=0,"⚠項目不明",""))))</f>
        <v/>
      </c>
    </row>
    <row r="152" customFormat="false" ht="15" hidden="false" customHeight="false" outlineLevel="0" collapsed="false">
      <c r="A152" s="30"/>
      <c r="B152" s="31"/>
      <c r="C152" s="32"/>
      <c r="D152" s="31"/>
      <c r="E152" s="33" t="str">
        <f aca="false">IF(COUNTA(A152:D152)=0,"",IF(COUNTA(A152:C152)&lt;3,"⚠未入力",IF(OR(A152&lt;設定!$C$8,A152&gt;設定!$C$9),"⚠期間外",IF(COUNTIF(設定!$B$15:$B$29,B152)=0,"⚠項目不明",""))))</f>
        <v/>
      </c>
    </row>
    <row r="153" customFormat="false" ht="15" hidden="false" customHeight="false" outlineLevel="0" collapsed="false">
      <c r="A153" s="30"/>
      <c r="B153" s="31"/>
      <c r="C153" s="32"/>
      <c r="D153" s="31"/>
      <c r="E153" s="33" t="str">
        <f aca="false">IF(COUNTA(A153:D153)=0,"",IF(COUNTA(A153:C153)&lt;3,"⚠未入力",IF(OR(A153&lt;設定!$C$8,A153&gt;設定!$C$9),"⚠期間外",IF(COUNTIF(設定!$B$15:$B$29,B153)=0,"⚠項目不明",""))))</f>
        <v/>
      </c>
    </row>
    <row r="154" customFormat="false" ht="15" hidden="false" customHeight="false" outlineLevel="0" collapsed="false">
      <c r="A154" s="30"/>
      <c r="B154" s="31"/>
      <c r="C154" s="32"/>
      <c r="D154" s="31"/>
      <c r="E154" s="33" t="str">
        <f aca="false">IF(COUNTA(A154:D154)=0,"",IF(COUNTA(A154:C154)&lt;3,"⚠未入力",IF(OR(A154&lt;設定!$C$8,A154&gt;設定!$C$9),"⚠期間外",IF(COUNTIF(設定!$B$15:$B$29,B154)=0,"⚠項目不明",""))))</f>
        <v/>
      </c>
    </row>
    <row r="155" customFormat="false" ht="15" hidden="false" customHeight="false" outlineLevel="0" collapsed="false">
      <c r="A155" s="30"/>
      <c r="B155" s="31"/>
      <c r="C155" s="32"/>
      <c r="D155" s="31"/>
      <c r="E155" s="33" t="str">
        <f aca="false">IF(COUNTA(A155:D155)=0,"",IF(COUNTA(A155:C155)&lt;3,"⚠未入力",IF(OR(A155&lt;設定!$C$8,A155&gt;設定!$C$9),"⚠期間外",IF(COUNTIF(設定!$B$15:$B$29,B155)=0,"⚠項目不明",""))))</f>
        <v/>
      </c>
    </row>
    <row r="156" customFormat="false" ht="15" hidden="false" customHeight="false" outlineLevel="0" collapsed="false">
      <c r="A156" s="30"/>
      <c r="B156" s="31"/>
      <c r="C156" s="32"/>
      <c r="D156" s="31"/>
      <c r="E156" s="33" t="str">
        <f aca="false">IF(COUNTA(A156:D156)=0,"",IF(COUNTA(A156:C156)&lt;3,"⚠未入力",IF(OR(A156&lt;設定!$C$8,A156&gt;設定!$C$9),"⚠期間外",IF(COUNTIF(設定!$B$15:$B$29,B156)=0,"⚠項目不明",""))))</f>
        <v/>
      </c>
    </row>
    <row r="157" customFormat="false" ht="15" hidden="false" customHeight="false" outlineLevel="0" collapsed="false">
      <c r="A157" s="30"/>
      <c r="B157" s="31"/>
      <c r="C157" s="32"/>
      <c r="D157" s="31"/>
      <c r="E157" s="33" t="str">
        <f aca="false">IF(COUNTA(A157:D157)=0,"",IF(COUNTA(A157:C157)&lt;3,"⚠未入力",IF(OR(A157&lt;設定!$C$8,A157&gt;設定!$C$9),"⚠期間外",IF(COUNTIF(設定!$B$15:$B$29,B157)=0,"⚠項目不明",""))))</f>
        <v/>
      </c>
    </row>
    <row r="158" customFormat="false" ht="15" hidden="false" customHeight="false" outlineLevel="0" collapsed="false">
      <c r="A158" s="30"/>
      <c r="B158" s="31"/>
      <c r="C158" s="32"/>
      <c r="D158" s="31"/>
      <c r="E158" s="33" t="str">
        <f aca="false">IF(COUNTA(A158:D158)=0,"",IF(COUNTA(A158:C158)&lt;3,"⚠未入力",IF(OR(A158&lt;設定!$C$8,A158&gt;設定!$C$9),"⚠期間外",IF(COUNTIF(設定!$B$15:$B$29,B158)=0,"⚠項目不明",""))))</f>
        <v/>
      </c>
    </row>
    <row r="159" customFormat="false" ht="15" hidden="false" customHeight="false" outlineLevel="0" collapsed="false">
      <c r="A159" s="30"/>
      <c r="B159" s="31"/>
      <c r="C159" s="32"/>
      <c r="D159" s="31"/>
      <c r="E159" s="33" t="str">
        <f aca="false">IF(COUNTA(A159:D159)=0,"",IF(COUNTA(A159:C159)&lt;3,"⚠未入力",IF(OR(A159&lt;設定!$C$8,A159&gt;設定!$C$9),"⚠期間外",IF(COUNTIF(設定!$B$15:$B$29,B159)=0,"⚠項目不明",""))))</f>
        <v/>
      </c>
    </row>
    <row r="160" customFormat="false" ht="15" hidden="false" customHeight="false" outlineLevel="0" collapsed="false">
      <c r="A160" s="30"/>
      <c r="B160" s="31"/>
      <c r="C160" s="32"/>
      <c r="D160" s="31"/>
      <c r="E160" s="33" t="str">
        <f aca="false">IF(COUNTA(A160:D160)=0,"",IF(COUNTA(A160:C160)&lt;3,"⚠未入力",IF(OR(A160&lt;設定!$C$8,A160&gt;設定!$C$9),"⚠期間外",IF(COUNTIF(設定!$B$15:$B$29,B160)=0,"⚠項目不明",""))))</f>
        <v/>
      </c>
    </row>
    <row r="161" customFormat="false" ht="15" hidden="false" customHeight="false" outlineLevel="0" collapsed="false">
      <c r="A161" s="30"/>
      <c r="B161" s="31"/>
      <c r="C161" s="32"/>
      <c r="D161" s="31"/>
      <c r="E161" s="33" t="str">
        <f aca="false">IF(COUNTA(A161:D161)=0,"",IF(COUNTA(A161:C161)&lt;3,"⚠未入力",IF(OR(A161&lt;設定!$C$8,A161&gt;設定!$C$9),"⚠期間外",IF(COUNTIF(設定!$B$15:$B$29,B161)=0,"⚠項目不明",""))))</f>
        <v/>
      </c>
    </row>
    <row r="162" customFormat="false" ht="15" hidden="false" customHeight="false" outlineLevel="0" collapsed="false">
      <c r="A162" s="30"/>
      <c r="B162" s="31"/>
      <c r="C162" s="32"/>
      <c r="D162" s="31"/>
      <c r="E162" s="33" t="str">
        <f aca="false">IF(COUNTA(A162:D162)=0,"",IF(COUNTA(A162:C162)&lt;3,"⚠未入力",IF(OR(A162&lt;設定!$C$8,A162&gt;設定!$C$9),"⚠期間外",IF(COUNTIF(設定!$B$15:$B$29,B162)=0,"⚠項目不明",""))))</f>
        <v/>
      </c>
    </row>
    <row r="163" customFormat="false" ht="15" hidden="false" customHeight="false" outlineLevel="0" collapsed="false">
      <c r="A163" s="30"/>
      <c r="B163" s="31"/>
      <c r="C163" s="32"/>
      <c r="D163" s="31"/>
      <c r="E163" s="33" t="str">
        <f aca="false">IF(COUNTA(A163:D163)=0,"",IF(COUNTA(A163:C163)&lt;3,"⚠未入力",IF(OR(A163&lt;設定!$C$8,A163&gt;設定!$C$9),"⚠期間外",IF(COUNTIF(設定!$B$15:$B$29,B163)=0,"⚠項目不明",""))))</f>
        <v/>
      </c>
    </row>
    <row r="164" customFormat="false" ht="15" hidden="false" customHeight="false" outlineLevel="0" collapsed="false">
      <c r="A164" s="30"/>
      <c r="B164" s="31"/>
      <c r="C164" s="32"/>
      <c r="D164" s="31"/>
      <c r="E164" s="33" t="str">
        <f aca="false">IF(COUNTA(A164:D164)=0,"",IF(COUNTA(A164:C164)&lt;3,"⚠未入力",IF(OR(A164&lt;設定!$C$8,A164&gt;設定!$C$9),"⚠期間外",IF(COUNTIF(設定!$B$15:$B$29,B164)=0,"⚠項目不明",""))))</f>
        <v/>
      </c>
    </row>
    <row r="165" customFormat="false" ht="15" hidden="false" customHeight="false" outlineLevel="0" collapsed="false">
      <c r="A165" s="30"/>
      <c r="B165" s="31"/>
      <c r="C165" s="32"/>
      <c r="D165" s="31"/>
      <c r="E165" s="33" t="str">
        <f aca="false">IF(COUNTA(A165:D165)=0,"",IF(COUNTA(A165:C165)&lt;3,"⚠未入力",IF(OR(A165&lt;設定!$C$8,A165&gt;設定!$C$9),"⚠期間外",IF(COUNTIF(設定!$B$15:$B$29,B165)=0,"⚠項目不明",""))))</f>
        <v/>
      </c>
    </row>
    <row r="166" customFormat="false" ht="15" hidden="false" customHeight="false" outlineLevel="0" collapsed="false">
      <c r="A166" s="30"/>
      <c r="B166" s="31"/>
      <c r="C166" s="32"/>
      <c r="D166" s="31"/>
      <c r="E166" s="33" t="str">
        <f aca="false">IF(COUNTA(A166:D166)=0,"",IF(COUNTA(A166:C166)&lt;3,"⚠未入力",IF(OR(A166&lt;設定!$C$8,A166&gt;設定!$C$9),"⚠期間外",IF(COUNTIF(設定!$B$15:$B$29,B166)=0,"⚠項目不明",""))))</f>
        <v/>
      </c>
    </row>
    <row r="167" customFormat="false" ht="15" hidden="false" customHeight="false" outlineLevel="0" collapsed="false">
      <c r="A167" s="30"/>
      <c r="B167" s="31"/>
      <c r="C167" s="32"/>
      <c r="D167" s="31"/>
      <c r="E167" s="33" t="str">
        <f aca="false">IF(COUNTA(A167:D167)=0,"",IF(COUNTA(A167:C167)&lt;3,"⚠未入力",IF(OR(A167&lt;設定!$C$8,A167&gt;設定!$C$9),"⚠期間外",IF(COUNTIF(設定!$B$15:$B$29,B167)=0,"⚠項目不明",""))))</f>
        <v/>
      </c>
    </row>
    <row r="168" customFormat="false" ht="15" hidden="false" customHeight="false" outlineLevel="0" collapsed="false">
      <c r="A168" s="30"/>
      <c r="B168" s="31"/>
      <c r="C168" s="32"/>
      <c r="D168" s="31"/>
      <c r="E168" s="33" t="str">
        <f aca="false">IF(COUNTA(A168:D168)=0,"",IF(COUNTA(A168:C168)&lt;3,"⚠未入力",IF(OR(A168&lt;設定!$C$8,A168&gt;設定!$C$9),"⚠期間外",IF(COUNTIF(設定!$B$15:$B$29,B168)=0,"⚠項目不明",""))))</f>
        <v/>
      </c>
    </row>
    <row r="169" customFormat="false" ht="15" hidden="false" customHeight="false" outlineLevel="0" collapsed="false">
      <c r="A169" s="30"/>
      <c r="B169" s="31"/>
      <c r="C169" s="32"/>
      <c r="D169" s="31"/>
      <c r="E169" s="33" t="str">
        <f aca="false">IF(COUNTA(A169:D169)=0,"",IF(COUNTA(A169:C169)&lt;3,"⚠未入力",IF(OR(A169&lt;設定!$C$8,A169&gt;設定!$C$9),"⚠期間外",IF(COUNTIF(設定!$B$15:$B$29,B169)=0,"⚠項目不明",""))))</f>
        <v/>
      </c>
    </row>
    <row r="170" customFormat="false" ht="15" hidden="false" customHeight="false" outlineLevel="0" collapsed="false">
      <c r="A170" s="30"/>
      <c r="B170" s="31"/>
      <c r="C170" s="32"/>
      <c r="D170" s="31"/>
      <c r="E170" s="33" t="str">
        <f aca="false">IF(COUNTA(A170:D170)=0,"",IF(COUNTA(A170:C170)&lt;3,"⚠未入力",IF(OR(A170&lt;設定!$C$8,A170&gt;設定!$C$9),"⚠期間外",IF(COUNTIF(設定!$B$15:$B$29,B170)=0,"⚠項目不明",""))))</f>
        <v/>
      </c>
    </row>
    <row r="171" customFormat="false" ht="15" hidden="false" customHeight="false" outlineLevel="0" collapsed="false">
      <c r="A171" s="30"/>
      <c r="B171" s="31"/>
      <c r="C171" s="32"/>
      <c r="D171" s="31"/>
      <c r="E171" s="33" t="str">
        <f aca="false">IF(COUNTA(A171:D171)=0,"",IF(COUNTA(A171:C171)&lt;3,"⚠未入力",IF(OR(A171&lt;設定!$C$8,A171&gt;設定!$C$9),"⚠期間外",IF(COUNTIF(設定!$B$15:$B$29,B171)=0,"⚠項目不明",""))))</f>
        <v/>
      </c>
    </row>
    <row r="172" customFormat="false" ht="15" hidden="false" customHeight="false" outlineLevel="0" collapsed="false">
      <c r="A172" s="30"/>
      <c r="B172" s="31"/>
      <c r="C172" s="32"/>
      <c r="D172" s="31"/>
      <c r="E172" s="33" t="str">
        <f aca="false">IF(COUNTA(A172:D172)=0,"",IF(COUNTA(A172:C172)&lt;3,"⚠未入力",IF(OR(A172&lt;設定!$C$8,A172&gt;設定!$C$9),"⚠期間外",IF(COUNTIF(設定!$B$15:$B$29,B172)=0,"⚠項目不明",""))))</f>
        <v/>
      </c>
    </row>
    <row r="173" customFormat="false" ht="15" hidden="false" customHeight="false" outlineLevel="0" collapsed="false">
      <c r="A173" s="30"/>
      <c r="B173" s="31"/>
      <c r="C173" s="32"/>
      <c r="D173" s="31"/>
      <c r="E173" s="33" t="str">
        <f aca="false">IF(COUNTA(A173:D173)=0,"",IF(COUNTA(A173:C173)&lt;3,"⚠未入力",IF(OR(A173&lt;設定!$C$8,A173&gt;設定!$C$9),"⚠期間外",IF(COUNTIF(設定!$B$15:$B$29,B173)=0,"⚠項目不明",""))))</f>
        <v/>
      </c>
    </row>
    <row r="174" customFormat="false" ht="15" hidden="false" customHeight="false" outlineLevel="0" collapsed="false">
      <c r="A174" s="30"/>
      <c r="B174" s="31"/>
      <c r="C174" s="32"/>
      <c r="D174" s="31"/>
      <c r="E174" s="33" t="str">
        <f aca="false">IF(COUNTA(A174:D174)=0,"",IF(COUNTA(A174:C174)&lt;3,"⚠未入力",IF(OR(A174&lt;設定!$C$8,A174&gt;設定!$C$9),"⚠期間外",IF(COUNTIF(設定!$B$15:$B$29,B174)=0,"⚠項目不明",""))))</f>
        <v/>
      </c>
    </row>
    <row r="175" customFormat="false" ht="15" hidden="false" customHeight="false" outlineLevel="0" collapsed="false">
      <c r="A175" s="30"/>
      <c r="B175" s="31"/>
      <c r="C175" s="32"/>
      <c r="D175" s="31"/>
      <c r="E175" s="33" t="str">
        <f aca="false">IF(COUNTA(A175:D175)=0,"",IF(COUNTA(A175:C175)&lt;3,"⚠未入力",IF(OR(A175&lt;設定!$C$8,A175&gt;設定!$C$9),"⚠期間外",IF(COUNTIF(設定!$B$15:$B$29,B175)=0,"⚠項目不明",""))))</f>
        <v/>
      </c>
    </row>
    <row r="176" customFormat="false" ht="15" hidden="false" customHeight="false" outlineLevel="0" collapsed="false">
      <c r="A176" s="30"/>
      <c r="B176" s="31"/>
      <c r="C176" s="32"/>
      <c r="D176" s="31"/>
      <c r="E176" s="33" t="str">
        <f aca="false">IF(COUNTA(A176:D176)=0,"",IF(COUNTA(A176:C176)&lt;3,"⚠未入力",IF(OR(A176&lt;設定!$C$8,A176&gt;設定!$C$9),"⚠期間外",IF(COUNTIF(設定!$B$15:$B$29,B176)=0,"⚠項目不明",""))))</f>
        <v/>
      </c>
    </row>
    <row r="177" customFormat="false" ht="15" hidden="false" customHeight="false" outlineLevel="0" collapsed="false">
      <c r="A177" s="30"/>
      <c r="B177" s="31"/>
      <c r="C177" s="32"/>
      <c r="D177" s="31"/>
      <c r="E177" s="33" t="str">
        <f aca="false">IF(COUNTA(A177:D177)=0,"",IF(COUNTA(A177:C177)&lt;3,"⚠未入力",IF(OR(A177&lt;設定!$C$8,A177&gt;設定!$C$9),"⚠期間外",IF(COUNTIF(設定!$B$15:$B$29,B177)=0,"⚠項目不明",""))))</f>
        <v/>
      </c>
    </row>
    <row r="178" customFormat="false" ht="15" hidden="false" customHeight="false" outlineLevel="0" collapsed="false">
      <c r="A178" s="30"/>
      <c r="B178" s="31"/>
      <c r="C178" s="32"/>
      <c r="D178" s="31"/>
      <c r="E178" s="33" t="str">
        <f aca="false">IF(COUNTA(A178:D178)=0,"",IF(COUNTA(A178:C178)&lt;3,"⚠未入力",IF(OR(A178&lt;設定!$C$8,A178&gt;設定!$C$9),"⚠期間外",IF(COUNTIF(設定!$B$15:$B$29,B178)=0,"⚠項目不明",""))))</f>
        <v/>
      </c>
    </row>
    <row r="179" customFormat="false" ht="15" hidden="false" customHeight="false" outlineLevel="0" collapsed="false">
      <c r="A179" s="30"/>
      <c r="B179" s="31"/>
      <c r="C179" s="32"/>
      <c r="D179" s="31"/>
      <c r="E179" s="33" t="str">
        <f aca="false">IF(COUNTA(A179:D179)=0,"",IF(COUNTA(A179:C179)&lt;3,"⚠未入力",IF(OR(A179&lt;設定!$C$8,A179&gt;設定!$C$9),"⚠期間外",IF(COUNTIF(設定!$B$15:$B$29,B179)=0,"⚠項目不明",""))))</f>
        <v/>
      </c>
    </row>
    <row r="180" customFormat="false" ht="15" hidden="false" customHeight="false" outlineLevel="0" collapsed="false">
      <c r="A180" s="30"/>
      <c r="B180" s="31"/>
      <c r="C180" s="32"/>
      <c r="D180" s="31"/>
      <c r="E180" s="33" t="str">
        <f aca="false">IF(COUNTA(A180:D180)=0,"",IF(COUNTA(A180:C180)&lt;3,"⚠未入力",IF(OR(A180&lt;設定!$C$8,A180&gt;設定!$C$9),"⚠期間外",IF(COUNTIF(設定!$B$15:$B$29,B180)=0,"⚠項目不明",""))))</f>
        <v/>
      </c>
    </row>
    <row r="181" customFormat="false" ht="15" hidden="false" customHeight="false" outlineLevel="0" collapsed="false">
      <c r="A181" s="30"/>
      <c r="B181" s="31"/>
      <c r="C181" s="32"/>
      <c r="D181" s="31"/>
      <c r="E181" s="33" t="str">
        <f aca="false">IF(COUNTA(A181:D181)=0,"",IF(COUNTA(A181:C181)&lt;3,"⚠未入力",IF(OR(A181&lt;設定!$C$8,A181&gt;設定!$C$9),"⚠期間外",IF(COUNTIF(設定!$B$15:$B$29,B181)=0,"⚠項目不明",""))))</f>
        <v/>
      </c>
    </row>
    <row r="182" customFormat="false" ht="15" hidden="false" customHeight="false" outlineLevel="0" collapsed="false">
      <c r="A182" s="30"/>
      <c r="B182" s="31"/>
      <c r="C182" s="32"/>
      <c r="D182" s="31"/>
      <c r="E182" s="33" t="str">
        <f aca="false">IF(COUNTA(A182:D182)=0,"",IF(COUNTA(A182:C182)&lt;3,"⚠未入力",IF(OR(A182&lt;設定!$C$8,A182&gt;設定!$C$9),"⚠期間外",IF(COUNTIF(設定!$B$15:$B$29,B182)=0,"⚠項目不明",""))))</f>
        <v/>
      </c>
    </row>
    <row r="183" customFormat="false" ht="15" hidden="false" customHeight="false" outlineLevel="0" collapsed="false">
      <c r="A183" s="30"/>
      <c r="B183" s="31"/>
      <c r="C183" s="32"/>
      <c r="D183" s="31"/>
      <c r="E183" s="33" t="str">
        <f aca="false">IF(COUNTA(A183:D183)=0,"",IF(COUNTA(A183:C183)&lt;3,"⚠未入力",IF(OR(A183&lt;設定!$C$8,A183&gt;設定!$C$9),"⚠期間外",IF(COUNTIF(設定!$B$15:$B$29,B183)=0,"⚠項目不明",""))))</f>
        <v/>
      </c>
    </row>
    <row r="184" customFormat="false" ht="15" hidden="false" customHeight="false" outlineLevel="0" collapsed="false">
      <c r="A184" s="30"/>
      <c r="B184" s="31"/>
      <c r="C184" s="32"/>
      <c r="D184" s="31"/>
      <c r="E184" s="33" t="str">
        <f aca="false">IF(COUNTA(A184:D184)=0,"",IF(COUNTA(A184:C184)&lt;3,"⚠未入力",IF(OR(A184&lt;設定!$C$8,A184&gt;設定!$C$9),"⚠期間外",IF(COUNTIF(設定!$B$15:$B$29,B184)=0,"⚠項目不明",""))))</f>
        <v/>
      </c>
    </row>
    <row r="185" customFormat="false" ht="15" hidden="false" customHeight="false" outlineLevel="0" collapsed="false">
      <c r="A185" s="30"/>
      <c r="B185" s="31"/>
      <c r="C185" s="32"/>
      <c r="D185" s="31"/>
      <c r="E185" s="33" t="str">
        <f aca="false">IF(COUNTA(A185:D185)=0,"",IF(COUNTA(A185:C185)&lt;3,"⚠未入力",IF(OR(A185&lt;設定!$C$8,A185&gt;設定!$C$9),"⚠期間外",IF(COUNTIF(設定!$B$15:$B$29,B185)=0,"⚠項目不明",""))))</f>
        <v/>
      </c>
    </row>
    <row r="186" customFormat="false" ht="15" hidden="false" customHeight="false" outlineLevel="0" collapsed="false">
      <c r="A186" s="30"/>
      <c r="B186" s="31"/>
      <c r="C186" s="32"/>
      <c r="D186" s="31"/>
      <c r="E186" s="33" t="str">
        <f aca="false">IF(COUNTA(A186:D186)=0,"",IF(COUNTA(A186:C186)&lt;3,"⚠未入力",IF(OR(A186&lt;設定!$C$8,A186&gt;設定!$C$9),"⚠期間外",IF(COUNTIF(設定!$B$15:$B$29,B186)=0,"⚠項目不明",""))))</f>
        <v/>
      </c>
    </row>
    <row r="187" customFormat="false" ht="15" hidden="false" customHeight="false" outlineLevel="0" collapsed="false">
      <c r="A187" s="30"/>
      <c r="B187" s="31"/>
      <c r="C187" s="32"/>
      <c r="D187" s="31"/>
      <c r="E187" s="33" t="str">
        <f aca="false">IF(COUNTA(A187:D187)=0,"",IF(COUNTA(A187:C187)&lt;3,"⚠未入力",IF(OR(A187&lt;設定!$C$8,A187&gt;設定!$C$9),"⚠期間外",IF(COUNTIF(設定!$B$15:$B$29,B187)=0,"⚠項目不明",""))))</f>
        <v/>
      </c>
    </row>
    <row r="188" customFormat="false" ht="15" hidden="false" customHeight="false" outlineLevel="0" collapsed="false">
      <c r="A188" s="30"/>
      <c r="B188" s="31"/>
      <c r="C188" s="32"/>
      <c r="D188" s="31"/>
      <c r="E188" s="33" t="str">
        <f aca="false">IF(COUNTA(A188:D188)=0,"",IF(COUNTA(A188:C188)&lt;3,"⚠未入力",IF(OR(A188&lt;設定!$C$8,A188&gt;設定!$C$9),"⚠期間外",IF(COUNTIF(設定!$B$15:$B$29,B188)=0,"⚠項目不明",""))))</f>
        <v/>
      </c>
    </row>
    <row r="189" customFormat="false" ht="15" hidden="false" customHeight="false" outlineLevel="0" collapsed="false">
      <c r="A189" s="30"/>
      <c r="B189" s="31"/>
      <c r="C189" s="32"/>
      <c r="D189" s="31"/>
      <c r="E189" s="33" t="str">
        <f aca="false">IF(COUNTA(A189:D189)=0,"",IF(COUNTA(A189:C189)&lt;3,"⚠未入力",IF(OR(A189&lt;設定!$C$8,A189&gt;設定!$C$9),"⚠期間外",IF(COUNTIF(設定!$B$15:$B$29,B189)=0,"⚠項目不明",""))))</f>
        <v/>
      </c>
    </row>
    <row r="190" customFormat="false" ht="15" hidden="false" customHeight="false" outlineLevel="0" collapsed="false">
      <c r="A190" s="30"/>
      <c r="B190" s="31"/>
      <c r="C190" s="32"/>
      <c r="D190" s="31"/>
      <c r="E190" s="33" t="str">
        <f aca="false">IF(COUNTA(A190:D190)=0,"",IF(COUNTA(A190:C190)&lt;3,"⚠未入力",IF(OR(A190&lt;設定!$C$8,A190&gt;設定!$C$9),"⚠期間外",IF(COUNTIF(設定!$B$15:$B$29,B190)=0,"⚠項目不明",""))))</f>
        <v/>
      </c>
    </row>
    <row r="191" customFormat="false" ht="15" hidden="false" customHeight="false" outlineLevel="0" collapsed="false">
      <c r="A191" s="30"/>
      <c r="B191" s="31"/>
      <c r="C191" s="32"/>
      <c r="D191" s="31"/>
      <c r="E191" s="33" t="str">
        <f aca="false">IF(COUNTA(A191:D191)=0,"",IF(COUNTA(A191:C191)&lt;3,"⚠未入力",IF(OR(A191&lt;設定!$C$8,A191&gt;設定!$C$9),"⚠期間外",IF(COUNTIF(設定!$B$15:$B$29,B191)=0,"⚠項目不明",""))))</f>
        <v/>
      </c>
    </row>
    <row r="192" customFormat="false" ht="15" hidden="false" customHeight="false" outlineLevel="0" collapsed="false">
      <c r="A192" s="30"/>
      <c r="B192" s="31"/>
      <c r="C192" s="32"/>
      <c r="D192" s="31"/>
      <c r="E192" s="33" t="str">
        <f aca="false">IF(COUNTA(A192:D192)=0,"",IF(COUNTA(A192:C192)&lt;3,"⚠未入力",IF(OR(A192&lt;設定!$C$8,A192&gt;設定!$C$9),"⚠期間外",IF(COUNTIF(設定!$B$15:$B$29,B192)=0,"⚠項目不明",""))))</f>
        <v/>
      </c>
    </row>
    <row r="193" customFormat="false" ht="15" hidden="false" customHeight="false" outlineLevel="0" collapsed="false">
      <c r="A193" s="30"/>
      <c r="B193" s="31"/>
      <c r="C193" s="32"/>
      <c r="D193" s="31"/>
      <c r="E193" s="33" t="str">
        <f aca="false">IF(COUNTA(A193:D193)=0,"",IF(COUNTA(A193:C193)&lt;3,"⚠未入力",IF(OR(A193&lt;設定!$C$8,A193&gt;設定!$C$9),"⚠期間外",IF(COUNTIF(設定!$B$15:$B$29,B193)=0,"⚠項目不明",""))))</f>
        <v/>
      </c>
    </row>
    <row r="194" customFormat="false" ht="15" hidden="false" customHeight="false" outlineLevel="0" collapsed="false">
      <c r="A194" s="30"/>
      <c r="B194" s="31"/>
      <c r="C194" s="32"/>
      <c r="D194" s="31"/>
      <c r="E194" s="33" t="str">
        <f aca="false">IF(COUNTA(A194:D194)=0,"",IF(COUNTA(A194:C194)&lt;3,"⚠未入力",IF(OR(A194&lt;設定!$C$8,A194&gt;設定!$C$9),"⚠期間外",IF(COUNTIF(設定!$B$15:$B$29,B194)=0,"⚠項目不明",""))))</f>
        <v/>
      </c>
    </row>
    <row r="195" customFormat="false" ht="15" hidden="false" customHeight="false" outlineLevel="0" collapsed="false">
      <c r="A195" s="30"/>
      <c r="B195" s="31"/>
      <c r="C195" s="32"/>
      <c r="D195" s="31"/>
      <c r="E195" s="33" t="str">
        <f aca="false">IF(COUNTA(A195:D195)=0,"",IF(COUNTA(A195:C195)&lt;3,"⚠未入力",IF(OR(A195&lt;設定!$C$8,A195&gt;設定!$C$9),"⚠期間外",IF(COUNTIF(設定!$B$15:$B$29,B195)=0,"⚠項目不明",""))))</f>
        <v/>
      </c>
    </row>
    <row r="196" customFormat="false" ht="15" hidden="false" customHeight="false" outlineLevel="0" collapsed="false">
      <c r="A196" s="30"/>
      <c r="B196" s="31"/>
      <c r="C196" s="32"/>
      <c r="D196" s="31"/>
      <c r="E196" s="33" t="str">
        <f aca="false">IF(COUNTA(A196:D196)=0,"",IF(COUNTA(A196:C196)&lt;3,"⚠未入力",IF(OR(A196&lt;設定!$C$8,A196&gt;設定!$C$9),"⚠期間外",IF(COUNTIF(設定!$B$15:$B$29,B196)=0,"⚠項目不明",""))))</f>
        <v/>
      </c>
    </row>
    <row r="197" customFormat="false" ht="15" hidden="false" customHeight="false" outlineLevel="0" collapsed="false">
      <c r="A197" s="30"/>
      <c r="B197" s="31"/>
      <c r="C197" s="32"/>
      <c r="D197" s="31"/>
      <c r="E197" s="33" t="str">
        <f aca="false">IF(COUNTA(A197:D197)=0,"",IF(COUNTA(A197:C197)&lt;3,"⚠未入力",IF(OR(A197&lt;設定!$C$8,A197&gt;設定!$C$9),"⚠期間外",IF(COUNTIF(設定!$B$15:$B$29,B197)=0,"⚠項目不明",""))))</f>
        <v/>
      </c>
    </row>
    <row r="198" customFormat="false" ht="15" hidden="false" customHeight="false" outlineLevel="0" collapsed="false">
      <c r="A198" s="30"/>
      <c r="B198" s="31"/>
      <c r="C198" s="32"/>
      <c r="D198" s="31"/>
      <c r="E198" s="33" t="str">
        <f aca="false">IF(COUNTA(A198:D198)=0,"",IF(COUNTA(A198:C198)&lt;3,"⚠未入力",IF(OR(A198&lt;設定!$C$8,A198&gt;設定!$C$9),"⚠期間外",IF(COUNTIF(設定!$B$15:$B$29,B198)=0,"⚠項目不明",""))))</f>
        <v/>
      </c>
    </row>
    <row r="199" customFormat="false" ht="15" hidden="false" customHeight="false" outlineLevel="0" collapsed="false">
      <c r="A199" s="30"/>
      <c r="B199" s="31"/>
      <c r="C199" s="32"/>
      <c r="D199" s="31"/>
      <c r="E199" s="33" t="str">
        <f aca="false">IF(COUNTA(A199:D199)=0,"",IF(COUNTA(A199:C199)&lt;3,"⚠未入力",IF(OR(A199&lt;設定!$C$8,A199&gt;設定!$C$9),"⚠期間外",IF(COUNTIF(設定!$B$15:$B$29,B199)=0,"⚠項目不明",""))))</f>
        <v/>
      </c>
    </row>
    <row r="200" customFormat="false" ht="15" hidden="false" customHeight="false" outlineLevel="0" collapsed="false">
      <c r="A200" s="30"/>
      <c r="B200" s="31"/>
      <c r="C200" s="32"/>
      <c r="D200" s="31"/>
      <c r="E200" s="33" t="str">
        <f aca="false">IF(COUNTA(A200:D200)=0,"",IF(COUNTA(A200:C200)&lt;3,"⚠未入力",IF(OR(A200&lt;設定!$C$8,A200&gt;設定!$C$9),"⚠期間外",IF(COUNTIF(設定!$B$15:$B$29,B200)=0,"⚠項目不明",""))))</f>
        <v/>
      </c>
    </row>
    <row r="201" customFormat="false" ht="15" hidden="false" customHeight="false" outlineLevel="0" collapsed="false">
      <c r="A201" s="30"/>
      <c r="B201" s="31"/>
      <c r="C201" s="32"/>
      <c r="D201" s="31"/>
      <c r="E201" s="33" t="str">
        <f aca="false">IF(COUNTA(A201:D201)=0,"",IF(COUNTA(A201:C201)&lt;3,"⚠未入力",IF(OR(A201&lt;設定!$C$8,A201&gt;設定!$C$9),"⚠期間外",IF(COUNTIF(設定!$B$15:$B$29,B201)=0,"⚠項目不明",""))))</f>
        <v/>
      </c>
    </row>
    <row r="202" customFormat="false" ht="15" hidden="false" customHeight="false" outlineLevel="0" collapsed="false">
      <c r="A202" s="30"/>
      <c r="B202" s="31"/>
      <c r="C202" s="32"/>
      <c r="D202" s="31"/>
      <c r="E202" s="33" t="str">
        <f aca="false">IF(COUNTA(A202:D202)=0,"",IF(COUNTA(A202:C202)&lt;3,"⚠未入力",IF(OR(A202&lt;設定!$C$8,A202&gt;設定!$C$9),"⚠期間外",IF(COUNTIF(設定!$B$15:$B$29,B202)=0,"⚠項目不明",""))))</f>
        <v/>
      </c>
    </row>
    <row r="203" customFormat="false" ht="15" hidden="false" customHeight="false" outlineLevel="0" collapsed="false">
      <c r="A203" s="30"/>
      <c r="B203" s="31"/>
      <c r="C203" s="32"/>
      <c r="D203" s="31"/>
      <c r="E203" s="33" t="str">
        <f aca="false">IF(COUNTA(A203:D203)=0,"",IF(COUNTA(A203:C203)&lt;3,"⚠未入力",IF(OR(A203&lt;設定!$C$8,A203&gt;設定!$C$9),"⚠期間外",IF(COUNTIF(設定!$B$15:$B$29,B203)=0,"⚠項目不明",""))))</f>
        <v/>
      </c>
    </row>
    <row r="204" customFormat="false" ht="15" hidden="false" customHeight="false" outlineLevel="0" collapsed="false">
      <c r="A204" s="30"/>
      <c r="B204" s="31"/>
      <c r="C204" s="32"/>
      <c r="D204" s="31"/>
      <c r="E204" s="33" t="str">
        <f aca="false">IF(COUNTA(A204:D204)=0,"",IF(COUNTA(A204:C204)&lt;3,"⚠未入力",IF(OR(A204&lt;設定!$C$8,A204&gt;設定!$C$9),"⚠期間外",IF(COUNTIF(設定!$B$15:$B$29,B204)=0,"⚠項目不明",""))))</f>
        <v/>
      </c>
    </row>
    <row r="205" customFormat="false" ht="15" hidden="false" customHeight="false" outlineLevel="0" collapsed="false">
      <c r="A205" s="30"/>
      <c r="B205" s="31"/>
      <c r="C205" s="32"/>
      <c r="D205" s="31"/>
      <c r="E205" s="33" t="str">
        <f aca="false">IF(COUNTA(A205:D205)=0,"",IF(COUNTA(A205:C205)&lt;3,"⚠未入力",IF(OR(A205&lt;設定!$C$8,A205&gt;設定!$C$9),"⚠期間外",IF(COUNTIF(設定!$B$15:$B$29,B205)=0,"⚠項目不明",""))))</f>
        <v/>
      </c>
    </row>
    <row r="206" customFormat="false" ht="15" hidden="false" customHeight="false" outlineLevel="0" collapsed="false">
      <c r="A206" s="30"/>
      <c r="B206" s="31"/>
      <c r="C206" s="32"/>
      <c r="D206" s="31"/>
      <c r="E206" s="33" t="str">
        <f aca="false">IF(COUNTA(A206:D206)=0,"",IF(COUNTA(A206:C206)&lt;3,"⚠未入力",IF(OR(A206&lt;設定!$C$8,A206&gt;設定!$C$9),"⚠期間外",IF(COUNTIF(設定!$B$15:$B$29,B206)=0,"⚠項目不明",""))))</f>
        <v/>
      </c>
    </row>
    <row r="207" customFormat="false" ht="15" hidden="false" customHeight="false" outlineLevel="0" collapsed="false">
      <c r="A207" s="30"/>
      <c r="B207" s="31"/>
      <c r="C207" s="32"/>
      <c r="D207" s="31"/>
      <c r="E207" s="33" t="str">
        <f aca="false">IF(COUNTA(A207:D207)=0,"",IF(COUNTA(A207:C207)&lt;3,"⚠未入力",IF(OR(A207&lt;設定!$C$8,A207&gt;設定!$C$9),"⚠期間外",IF(COUNTIF(設定!$B$15:$B$29,B207)=0,"⚠項目不明",""))))</f>
        <v/>
      </c>
    </row>
    <row r="208" customFormat="false" ht="15" hidden="false" customHeight="false" outlineLevel="0" collapsed="false">
      <c r="A208" s="30"/>
      <c r="B208" s="31"/>
      <c r="C208" s="32"/>
      <c r="D208" s="31"/>
      <c r="E208" s="33" t="str">
        <f aca="false">IF(COUNTA(A208:D208)=0,"",IF(COUNTA(A208:C208)&lt;3,"⚠未入力",IF(OR(A208&lt;設定!$C$8,A208&gt;設定!$C$9),"⚠期間外",IF(COUNTIF(設定!$B$15:$B$29,B208)=0,"⚠項目不明",""))))</f>
        <v/>
      </c>
    </row>
    <row r="209" customFormat="false" ht="15" hidden="false" customHeight="false" outlineLevel="0" collapsed="false">
      <c r="A209" s="30"/>
      <c r="B209" s="31"/>
      <c r="C209" s="32"/>
      <c r="D209" s="31"/>
      <c r="E209" s="33" t="str">
        <f aca="false">IF(COUNTA(A209:D209)=0,"",IF(COUNTA(A209:C209)&lt;3,"⚠未入力",IF(OR(A209&lt;設定!$C$8,A209&gt;設定!$C$9),"⚠期間外",IF(COUNTIF(設定!$B$15:$B$29,B209)=0,"⚠項目不明",""))))</f>
        <v/>
      </c>
    </row>
    <row r="210" customFormat="false" ht="15" hidden="false" customHeight="false" outlineLevel="0" collapsed="false">
      <c r="A210" s="30"/>
      <c r="B210" s="31"/>
      <c r="C210" s="32"/>
      <c r="D210" s="31"/>
      <c r="E210" s="33" t="str">
        <f aca="false">IF(COUNTA(A210:D210)=0,"",IF(COUNTA(A210:C210)&lt;3,"⚠未入力",IF(OR(A210&lt;設定!$C$8,A210&gt;設定!$C$9),"⚠期間外",IF(COUNTIF(設定!$B$15:$B$29,B210)=0,"⚠項目不明",""))))</f>
        <v/>
      </c>
    </row>
    <row r="211" customFormat="false" ht="15" hidden="false" customHeight="false" outlineLevel="0" collapsed="false">
      <c r="A211" s="30"/>
      <c r="B211" s="31"/>
      <c r="C211" s="32"/>
      <c r="D211" s="31"/>
      <c r="E211" s="33" t="str">
        <f aca="false">IF(COUNTA(A211:D211)=0,"",IF(COUNTA(A211:C211)&lt;3,"⚠未入力",IF(OR(A211&lt;設定!$C$8,A211&gt;設定!$C$9),"⚠期間外",IF(COUNTIF(設定!$B$15:$B$29,B211)=0,"⚠項目不明",""))))</f>
        <v/>
      </c>
    </row>
    <row r="212" customFormat="false" ht="15" hidden="false" customHeight="false" outlineLevel="0" collapsed="false">
      <c r="A212" s="30"/>
      <c r="B212" s="31"/>
      <c r="C212" s="32"/>
      <c r="D212" s="31"/>
      <c r="E212" s="33" t="str">
        <f aca="false">IF(COUNTA(A212:D212)=0,"",IF(COUNTA(A212:C212)&lt;3,"⚠未入力",IF(OR(A212&lt;設定!$C$8,A212&gt;設定!$C$9),"⚠期間外",IF(COUNTIF(設定!$B$15:$B$29,B212)=0,"⚠項目不明",""))))</f>
        <v/>
      </c>
    </row>
    <row r="213" customFormat="false" ht="15" hidden="false" customHeight="false" outlineLevel="0" collapsed="false">
      <c r="A213" s="30"/>
      <c r="B213" s="31"/>
      <c r="C213" s="32"/>
      <c r="D213" s="31"/>
      <c r="E213" s="33" t="str">
        <f aca="false">IF(COUNTA(A213:D213)=0,"",IF(COUNTA(A213:C213)&lt;3,"⚠未入力",IF(OR(A213&lt;設定!$C$8,A213&gt;設定!$C$9),"⚠期間外",IF(COUNTIF(設定!$B$15:$B$29,B213)=0,"⚠項目不明",""))))</f>
        <v/>
      </c>
    </row>
    <row r="214" customFormat="false" ht="15" hidden="false" customHeight="false" outlineLevel="0" collapsed="false">
      <c r="A214" s="30"/>
      <c r="B214" s="31"/>
      <c r="C214" s="32"/>
      <c r="D214" s="31"/>
      <c r="E214" s="33" t="str">
        <f aca="false">IF(COUNTA(A214:D214)=0,"",IF(COUNTA(A214:C214)&lt;3,"⚠未入力",IF(OR(A214&lt;設定!$C$8,A214&gt;設定!$C$9),"⚠期間外",IF(COUNTIF(設定!$B$15:$B$29,B214)=0,"⚠項目不明",""))))</f>
        <v/>
      </c>
    </row>
    <row r="215" customFormat="false" ht="15" hidden="false" customHeight="false" outlineLevel="0" collapsed="false">
      <c r="A215" s="30"/>
      <c r="B215" s="31"/>
      <c r="C215" s="32"/>
      <c r="D215" s="31"/>
      <c r="E215" s="33" t="str">
        <f aca="false">IF(COUNTA(A215:D215)=0,"",IF(COUNTA(A215:C215)&lt;3,"⚠未入力",IF(OR(A215&lt;設定!$C$8,A215&gt;設定!$C$9),"⚠期間外",IF(COUNTIF(設定!$B$15:$B$29,B215)=0,"⚠項目不明",""))))</f>
        <v/>
      </c>
    </row>
    <row r="216" customFormat="false" ht="15" hidden="false" customHeight="false" outlineLevel="0" collapsed="false">
      <c r="A216" s="30"/>
      <c r="B216" s="31"/>
      <c r="C216" s="32"/>
      <c r="D216" s="31"/>
      <c r="E216" s="33" t="str">
        <f aca="false">IF(COUNTA(A216:D216)=0,"",IF(COUNTA(A216:C216)&lt;3,"⚠未入力",IF(OR(A216&lt;設定!$C$8,A216&gt;設定!$C$9),"⚠期間外",IF(COUNTIF(設定!$B$15:$B$29,B216)=0,"⚠項目不明",""))))</f>
        <v/>
      </c>
    </row>
    <row r="217" customFormat="false" ht="15" hidden="false" customHeight="false" outlineLevel="0" collapsed="false">
      <c r="A217" s="30"/>
      <c r="B217" s="31"/>
      <c r="C217" s="32"/>
      <c r="D217" s="31"/>
      <c r="E217" s="33" t="str">
        <f aca="false">IF(COUNTA(A217:D217)=0,"",IF(COUNTA(A217:C217)&lt;3,"⚠未入力",IF(OR(A217&lt;設定!$C$8,A217&gt;設定!$C$9),"⚠期間外",IF(COUNTIF(設定!$B$15:$B$29,B217)=0,"⚠項目不明",""))))</f>
        <v/>
      </c>
    </row>
    <row r="218" customFormat="false" ht="15" hidden="false" customHeight="false" outlineLevel="0" collapsed="false">
      <c r="A218" s="30"/>
      <c r="B218" s="31"/>
      <c r="C218" s="32"/>
      <c r="D218" s="31"/>
      <c r="E218" s="33" t="str">
        <f aca="false">IF(COUNTA(A218:D218)=0,"",IF(COUNTA(A218:C218)&lt;3,"⚠未入力",IF(OR(A218&lt;設定!$C$8,A218&gt;設定!$C$9),"⚠期間外",IF(COUNTIF(設定!$B$15:$B$29,B218)=0,"⚠項目不明",""))))</f>
        <v/>
      </c>
    </row>
    <row r="219" customFormat="false" ht="15" hidden="false" customHeight="false" outlineLevel="0" collapsed="false">
      <c r="A219" s="30"/>
      <c r="B219" s="31"/>
      <c r="C219" s="32"/>
      <c r="D219" s="31"/>
      <c r="E219" s="33" t="str">
        <f aca="false">IF(COUNTA(A219:D219)=0,"",IF(COUNTA(A219:C219)&lt;3,"⚠未入力",IF(OR(A219&lt;設定!$C$8,A219&gt;設定!$C$9),"⚠期間外",IF(COUNTIF(設定!$B$15:$B$29,B219)=0,"⚠項目不明",""))))</f>
        <v/>
      </c>
    </row>
    <row r="220" customFormat="false" ht="15" hidden="false" customHeight="false" outlineLevel="0" collapsed="false">
      <c r="A220" s="30"/>
      <c r="B220" s="31"/>
      <c r="C220" s="32"/>
      <c r="D220" s="31"/>
      <c r="E220" s="33" t="str">
        <f aca="false">IF(COUNTA(A220:D220)=0,"",IF(COUNTA(A220:C220)&lt;3,"⚠未入力",IF(OR(A220&lt;設定!$C$8,A220&gt;設定!$C$9),"⚠期間外",IF(COUNTIF(設定!$B$15:$B$29,B220)=0,"⚠項目不明",""))))</f>
        <v/>
      </c>
    </row>
    <row r="221" customFormat="false" ht="15" hidden="false" customHeight="false" outlineLevel="0" collapsed="false">
      <c r="A221" s="30"/>
      <c r="B221" s="31"/>
      <c r="C221" s="32"/>
      <c r="D221" s="31"/>
      <c r="E221" s="33" t="str">
        <f aca="false">IF(COUNTA(A221:D221)=0,"",IF(COUNTA(A221:C221)&lt;3,"⚠未入力",IF(OR(A221&lt;設定!$C$8,A221&gt;設定!$C$9),"⚠期間外",IF(COUNTIF(設定!$B$15:$B$29,B221)=0,"⚠項目不明",""))))</f>
        <v/>
      </c>
    </row>
    <row r="222" customFormat="false" ht="15" hidden="false" customHeight="false" outlineLevel="0" collapsed="false">
      <c r="A222" s="30"/>
      <c r="B222" s="31"/>
      <c r="C222" s="32"/>
      <c r="D222" s="31"/>
      <c r="E222" s="33" t="str">
        <f aca="false">IF(COUNTA(A222:D222)=0,"",IF(COUNTA(A222:C222)&lt;3,"⚠未入力",IF(OR(A222&lt;設定!$C$8,A222&gt;設定!$C$9),"⚠期間外",IF(COUNTIF(設定!$B$15:$B$29,B222)=0,"⚠項目不明",""))))</f>
        <v/>
      </c>
    </row>
    <row r="223" customFormat="false" ht="15" hidden="false" customHeight="false" outlineLevel="0" collapsed="false">
      <c r="A223" s="30"/>
      <c r="B223" s="31"/>
      <c r="C223" s="32"/>
      <c r="D223" s="31"/>
      <c r="E223" s="33" t="str">
        <f aca="false">IF(COUNTA(A223:D223)=0,"",IF(COUNTA(A223:C223)&lt;3,"⚠未入力",IF(OR(A223&lt;設定!$C$8,A223&gt;設定!$C$9),"⚠期間外",IF(COUNTIF(設定!$B$15:$B$29,B223)=0,"⚠項目不明",""))))</f>
        <v/>
      </c>
    </row>
    <row r="224" customFormat="false" ht="15" hidden="false" customHeight="false" outlineLevel="0" collapsed="false">
      <c r="A224" s="30"/>
      <c r="B224" s="31"/>
      <c r="C224" s="32"/>
      <c r="D224" s="31"/>
      <c r="E224" s="33" t="str">
        <f aca="false">IF(COUNTA(A224:D224)=0,"",IF(COUNTA(A224:C224)&lt;3,"⚠未入力",IF(OR(A224&lt;設定!$C$8,A224&gt;設定!$C$9),"⚠期間外",IF(COUNTIF(設定!$B$15:$B$29,B224)=0,"⚠項目不明",""))))</f>
        <v/>
      </c>
    </row>
    <row r="225" customFormat="false" ht="15" hidden="false" customHeight="false" outlineLevel="0" collapsed="false">
      <c r="A225" s="30"/>
      <c r="B225" s="31"/>
      <c r="C225" s="32"/>
      <c r="D225" s="31"/>
      <c r="E225" s="33" t="str">
        <f aca="false">IF(COUNTA(A225:D225)=0,"",IF(COUNTA(A225:C225)&lt;3,"⚠未入力",IF(OR(A225&lt;設定!$C$8,A225&gt;設定!$C$9),"⚠期間外",IF(COUNTIF(設定!$B$15:$B$29,B225)=0,"⚠項目不明",""))))</f>
        <v/>
      </c>
    </row>
    <row r="226" customFormat="false" ht="15" hidden="false" customHeight="false" outlineLevel="0" collapsed="false">
      <c r="A226" s="30"/>
      <c r="B226" s="31"/>
      <c r="C226" s="32"/>
      <c r="D226" s="31"/>
      <c r="E226" s="33" t="str">
        <f aca="false">IF(COUNTA(A226:D226)=0,"",IF(COUNTA(A226:C226)&lt;3,"⚠未入力",IF(OR(A226&lt;設定!$C$8,A226&gt;設定!$C$9),"⚠期間外",IF(COUNTIF(設定!$B$15:$B$29,B226)=0,"⚠項目不明",""))))</f>
        <v/>
      </c>
    </row>
    <row r="227" customFormat="false" ht="15" hidden="false" customHeight="false" outlineLevel="0" collapsed="false">
      <c r="A227" s="30"/>
      <c r="B227" s="31"/>
      <c r="C227" s="32"/>
      <c r="D227" s="31"/>
      <c r="E227" s="33" t="str">
        <f aca="false">IF(COUNTA(A227:D227)=0,"",IF(COUNTA(A227:C227)&lt;3,"⚠未入力",IF(OR(A227&lt;設定!$C$8,A227&gt;設定!$C$9),"⚠期間外",IF(COUNTIF(設定!$B$15:$B$29,B227)=0,"⚠項目不明",""))))</f>
        <v/>
      </c>
    </row>
    <row r="228" customFormat="false" ht="15" hidden="false" customHeight="false" outlineLevel="0" collapsed="false">
      <c r="A228" s="30"/>
      <c r="B228" s="31"/>
      <c r="C228" s="32"/>
      <c r="D228" s="31"/>
      <c r="E228" s="33" t="str">
        <f aca="false">IF(COUNTA(A228:D228)=0,"",IF(COUNTA(A228:C228)&lt;3,"⚠未入力",IF(OR(A228&lt;設定!$C$8,A228&gt;設定!$C$9),"⚠期間外",IF(COUNTIF(設定!$B$15:$B$29,B228)=0,"⚠項目不明",""))))</f>
        <v/>
      </c>
    </row>
    <row r="229" customFormat="false" ht="15" hidden="false" customHeight="false" outlineLevel="0" collapsed="false">
      <c r="A229" s="30"/>
      <c r="B229" s="31"/>
      <c r="C229" s="32"/>
      <c r="D229" s="31"/>
      <c r="E229" s="33" t="str">
        <f aca="false">IF(COUNTA(A229:D229)=0,"",IF(COUNTA(A229:C229)&lt;3,"⚠未入力",IF(OR(A229&lt;設定!$C$8,A229&gt;設定!$C$9),"⚠期間外",IF(COUNTIF(設定!$B$15:$B$29,B229)=0,"⚠項目不明",""))))</f>
        <v/>
      </c>
    </row>
    <row r="230" customFormat="false" ht="15" hidden="false" customHeight="false" outlineLevel="0" collapsed="false">
      <c r="A230" s="30"/>
      <c r="B230" s="31"/>
      <c r="C230" s="32"/>
      <c r="D230" s="31"/>
      <c r="E230" s="33" t="str">
        <f aca="false">IF(COUNTA(A230:D230)=0,"",IF(COUNTA(A230:C230)&lt;3,"⚠未入力",IF(OR(A230&lt;設定!$C$8,A230&gt;設定!$C$9),"⚠期間外",IF(COUNTIF(設定!$B$15:$B$29,B230)=0,"⚠項目不明",""))))</f>
        <v/>
      </c>
    </row>
    <row r="231" customFormat="false" ht="15" hidden="false" customHeight="false" outlineLevel="0" collapsed="false">
      <c r="A231" s="30"/>
      <c r="B231" s="31"/>
      <c r="C231" s="32"/>
      <c r="D231" s="31"/>
      <c r="E231" s="33" t="str">
        <f aca="false">IF(COUNTA(A231:D231)=0,"",IF(COUNTA(A231:C231)&lt;3,"⚠未入力",IF(OR(A231&lt;設定!$C$8,A231&gt;設定!$C$9),"⚠期間外",IF(COUNTIF(設定!$B$15:$B$29,B231)=0,"⚠項目不明",""))))</f>
        <v/>
      </c>
    </row>
    <row r="232" customFormat="false" ht="15" hidden="false" customHeight="false" outlineLevel="0" collapsed="false">
      <c r="A232" s="30"/>
      <c r="B232" s="31"/>
      <c r="C232" s="32"/>
      <c r="D232" s="31"/>
      <c r="E232" s="33" t="str">
        <f aca="false">IF(COUNTA(A232:D232)=0,"",IF(COUNTA(A232:C232)&lt;3,"⚠未入力",IF(OR(A232&lt;設定!$C$8,A232&gt;設定!$C$9),"⚠期間外",IF(COUNTIF(設定!$B$15:$B$29,B232)=0,"⚠項目不明",""))))</f>
        <v/>
      </c>
    </row>
    <row r="233" customFormat="false" ht="15" hidden="false" customHeight="false" outlineLevel="0" collapsed="false">
      <c r="A233" s="30"/>
      <c r="B233" s="31"/>
      <c r="C233" s="32"/>
      <c r="D233" s="31"/>
      <c r="E233" s="33" t="str">
        <f aca="false">IF(COUNTA(A233:D233)=0,"",IF(COUNTA(A233:C233)&lt;3,"⚠未入力",IF(OR(A233&lt;設定!$C$8,A233&gt;設定!$C$9),"⚠期間外",IF(COUNTIF(設定!$B$15:$B$29,B233)=0,"⚠項目不明",""))))</f>
        <v/>
      </c>
    </row>
    <row r="234" customFormat="false" ht="15" hidden="false" customHeight="false" outlineLevel="0" collapsed="false">
      <c r="A234" s="30"/>
      <c r="B234" s="31"/>
      <c r="C234" s="32"/>
      <c r="D234" s="31"/>
      <c r="E234" s="33" t="str">
        <f aca="false">IF(COUNTA(A234:D234)=0,"",IF(COUNTA(A234:C234)&lt;3,"⚠未入力",IF(OR(A234&lt;設定!$C$8,A234&gt;設定!$C$9),"⚠期間外",IF(COUNTIF(設定!$B$15:$B$29,B234)=0,"⚠項目不明",""))))</f>
        <v/>
      </c>
    </row>
    <row r="235" customFormat="false" ht="15" hidden="false" customHeight="false" outlineLevel="0" collapsed="false">
      <c r="A235" s="30"/>
      <c r="B235" s="31"/>
      <c r="C235" s="32"/>
      <c r="D235" s="31"/>
      <c r="E235" s="33" t="str">
        <f aca="false">IF(COUNTA(A235:D235)=0,"",IF(COUNTA(A235:C235)&lt;3,"⚠未入力",IF(OR(A235&lt;設定!$C$8,A235&gt;設定!$C$9),"⚠期間外",IF(COUNTIF(設定!$B$15:$B$29,B235)=0,"⚠項目不明",""))))</f>
        <v/>
      </c>
    </row>
    <row r="236" customFormat="false" ht="15" hidden="false" customHeight="false" outlineLevel="0" collapsed="false">
      <c r="A236" s="30"/>
      <c r="B236" s="31"/>
      <c r="C236" s="32"/>
      <c r="D236" s="31"/>
      <c r="E236" s="33" t="str">
        <f aca="false">IF(COUNTA(A236:D236)=0,"",IF(COUNTA(A236:C236)&lt;3,"⚠未入力",IF(OR(A236&lt;設定!$C$8,A236&gt;設定!$C$9),"⚠期間外",IF(COUNTIF(設定!$B$15:$B$29,B236)=0,"⚠項目不明",""))))</f>
        <v/>
      </c>
    </row>
    <row r="237" customFormat="false" ht="15" hidden="false" customHeight="false" outlineLevel="0" collapsed="false">
      <c r="A237" s="30"/>
      <c r="B237" s="31"/>
      <c r="C237" s="32"/>
      <c r="D237" s="31"/>
      <c r="E237" s="33" t="str">
        <f aca="false">IF(COUNTA(A237:D237)=0,"",IF(COUNTA(A237:C237)&lt;3,"⚠未入力",IF(OR(A237&lt;設定!$C$8,A237&gt;設定!$C$9),"⚠期間外",IF(COUNTIF(設定!$B$15:$B$29,B237)=0,"⚠項目不明",""))))</f>
        <v/>
      </c>
    </row>
    <row r="238" customFormat="false" ht="15" hidden="false" customHeight="false" outlineLevel="0" collapsed="false">
      <c r="A238" s="30"/>
      <c r="B238" s="31"/>
      <c r="C238" s="32"/>
      <c r="D238" s="31"/>
      <c r="E238" s="33" t="str">
        <f aca="false">IF(COUNTA(A238:D238)=0,"",IF(COUNTA(A238:C238)&lt;3,"⚠未入力",IF(OR(A238&lt;設定!$C$8,A238&gt;設定!$C$9),"⚠期間外",IF(COUNTIF(設定!$B$15:$B$29,B238)=0,"⚠項目不明",""))))</f>
        <v/>
      </c>
    </row>
    <row r="239" customFormat="false" ht="15" hidden="false" customHeight="false" outlineLevel="0" collapsed="false">
      <c r="A239" s="30"/>
      <c r="B239" s="31"/>
      <c r="C239" s="32"/>
      <c r="D239" s="31"/>
      <c r="E239" s="33" t="str">
        <f aca="false">IF(COUNTA(A239:D239)=0,"",IF(COUNTA(A239:C239)&lt;3,"⚠未入力",IF(OR(A239&lt;設定!$C$8,A239&gt;設定!$C$9),"⚠期間外",IF(COUNTIF(設定!$B$15:$B$29,B239)=0,"⚠項目不明",""))))</f>
        <v/>
      </c>
    </row>
    <row r="240" customFormat="false" ht="15" hidden="false" customHeight="false" outlineLevel="0" collapsed="false">
      <c r="A240" s="30"/>
      <c r="B240" s="31"/>
      <c r="C240" s="32"/>
      <c r="D240" s="31"/>
      <c r="E240" s="33" t="str">
        <f aca="false">IF(COUNTA(A240:D240)=0,"",IF(COUNTA(A240:C240)&lt;3,"⚠未入力",IF(OR(A240&lt;設定!$C$8,A240&gt;設定!$C$9),"⚠期間外",IF(COUNTIF(設定!$B$15:$B$29,B240)=0,"⚠項目不明",""))))</f>
        <v/>
      </c>
    </row>
    <row r="241" customFormat="false" ht="15" hidden="false" customHeight="false" outlineLevel="0" collapsed="false">
      <c r="A241" s="30"/>
      <c r="B241" s="31"/>
      <c r="C241" s="32"/>
      <c r="D241" s="31"/>
      <c r="E241" s="33" t="str">
        <f aca="false">IF(COUNTA(A241:D241)=0,"",IF(COUNTA(A241:C241)&lt;3,"⚠未入力",IF(OR(A241&lt;設定!$C$8,A241&gt;設定!$C$9),"⚠期間外",IF(COUNTIF(設定!$B$15:$B$29,B241)=0,"⚠項目不明",""))))</f>
        <v/>
      </c>
    </row>
    <row r="242" customFormat="false" ht="15" hidden="false" customHeight="false" outlineLevel="0" collapsed="false">
      <c r="A242" s="30"/>
      <c r="B242" s="31"/>
      <c r="C242" s="32"/>
      <c r="D242" s="31"/>
      <c r="E242" s="33" t="str">
        <f aca="false">IF(COUNTA(A242:D242)=0,"",IF(COUNTA(A242:C242)&lt;3,"⚠未入力",IF(OR(A242&lt;設定!$C$8,A242&gt;設定!$C$9),"⚠期間外",IF(COUNTIF(設定!$B$15:$B$29,B242)=0,"⚠項目不明",""))))</f>
        <v/>
      </c>
    </row>
    <row r="243" customFormat="false" ht="15" hidden="false" customHeight="false" outlineLevel="0" collapsed="false">
      <c r="A243" s="30"/>
      <c r="B243" s="31"/>
      <c r="C243" s="32"/>
      <c r="D243" s="31"/>
      <c r="E243" s="33" t="str">
        <f aca="false">IF(COUNTA(A243:D243)=0,"",IF(COUNTA(A243:C243)&lt;3,"⚠未入力",IF(OR(A243&lt;設定!$C$8,A243&gt;設定!$C$9),"⚠期間外",IF(COUNTIF(設定!$B$15:$B$29,B243)=0,"⚠項目不明",""))))</f>
        <v/>
      </c>
    </row>
    <row r="244" customFormat="false" ht="15" hidden="false" customHeight="false" outlineLevel="0" collapsed="false">
      <c r="A244" s="30"/>
      <c r="B244" s="31"/>
      <c r="C244" s="32"/>
      <c r="D244" s="31"/>
      <c r="E244" s="33" t="str">
        <f aca="false">IF(COUNTA(A244:D244)=0,"",IF(COUNTA(A244:C244)&lt;3,"⚠未入力",IF(OR(A244&lt;設定!$C$8,A244&gt;設定!$C$9),"⚠期間外",IF(COUNTIF(設定!$B$15:$B$29,B244)=0,"⚠項目不明",""))))</f>
        <v/>
      </c>
    </row>
    <row r="245" customFormat="false" ht="15" hidden="false" customHeight="false" outlineLevel="0" collapsed="false">
      <c r="A245" s="30"/>
      <c r="B245" s="31"/>
      <c r="C245" s="32"/>
      <c r="D245" s="31"/>
      <c r="E245" s="33" t="str">
        <f aca="false">IF(COUNTA(A245:D245)=0,"",IF(COUNTA(A245:C245)&lt;3,"⚠未入力",IF(OR(A245&lt;設定!$C$8,A245&gt;設定!$C$9),"⚠期間外",IF(COUNTIF(設定!$B$15:$B$29,B245)=0,"⚠項目不明",""))))</f>
        <v/>
      </c>
    </row>
    <row r="246" customFormat="false" ht="15" hidden="false" customHeight="false" outlineLevel="0" collapsed="false">
      <c r="A246" s="30"/>
      <c r="B246" s="31"/>
      <c r="C246" s="32"/>
      <c r="D246" s="31"/>
      <c r="E246" s="33" t="str">
        <f aca="false">IF(COUNTA(A246:D246)=0,"",IF(COUNTA(A246:C246)&lt;3,"⚠未入力",IF(OR(A246&lt;設定!$C$8,A246&gt;設定!$C$9),"⚠期間外",IF(COUNTIF(設定!$B$15:$B$29,B246)=0,"⚠項目不明",""))))</f>
        <v/>
      </c>
    </row>
    <row r="247" customFormat="false" ht="15" hidden="false" customHeight="false" outlineLevel="0" collapsed="false">
      <c r="A247" s="30"/>
      <c r="B247" s="31"/>
      <c r="C247" s="32"/>
      <c r="D247" s="31"/>
      <c r="E247" s="33" t="str">
        <f aca="false">IF(COUNTA(A247:D247)=0,"",IF(COUNTA(A247:C247)&lt;3,"⚠未入力",IF(OR(A247&lt;設定!$C$8,A247&gt;設定!$C$9),"⚠期間外",IF(COUNTIF(設定!$B$15:$B$29,B247)=0,"⚠項目不明",""))))</f>
        <v/>
      </c>
    </row>
    <row r="248" customFormat="false" ht="15" hidden="false" customHeight="false" outlineLevel="0" collapsed="false">
      <c r="A248" s="30"/>
      <c r="B248" s="31"/>
      <c r="C248" s="32"/>
      <c r="D248" s="31"/>
      <c r="E248" s="33" t="str">
        <f aca="false">IF(COUNTA(A248:D248)=0,"",IF(COUNTA(A248:C248)&lt;3,"⚠未入力",IF(OR(A248&lt;設定!$C$8,A248&gt;設定!$C$9),"⚠期間外",IF(COUNTIF(設定!$B$15:$B$29,B248)=0,"⚠項目不明",""))))</f>
        <v/>
      </c>
    </row>
    <row r="249" customFormat="false" ht="15" hidden="false" customHeight="false" outlineLevel="0" collapsed="false">
      <c r="A249" s="30"/>
      <c r="B249" s="31"/>
      <c r="C249" s="32"/>
      <c r="D249" s="31"/>
      <c r="E249" s="33" t="str">
        <f aca="false">IF(COUNTA(A249:D249)=0,"",IF(COUNTA(A249:C249)&lt;3,"⚠未入力",IF(OR(A249&lt;設定!$C$8,A249&gt;設定!$C$9),"⚠期間外",IF(COUNTIF(設定!$B$15:$B$29,B249)=0,"⚠項目不明",""))))</f>
        <v/>
      </c>
    </row>
    <row r="250" customFormat="false" ht="15" hidden="false" customHeight="false" outlineLevel="0" collapsed="false">
      <c r="A250" s="30"/>
      <c r="B250" s="31"/>
      <c r="C250" s="32"/>
      <c r="D250" s="31"/>
      <c r="E250" s="33" t="str">
        <f aca="false">IF(COUNTA(A250:D250)=0,"",IF(COUNTA(A250:C250)&lt;3,"⚠未入力",IF(OR(A250&lt;設定!$C$8,A250&gt;設定!$C$9),"⚠期間外",IF(COUNTIF(設定!$B$15:$B$29,B250)=0,"⚠項目不明",""))))</f>
        <v/>
      </c>
    </row>
    <row r="251" customFormat="false" ht="15" hidden="false" customHeight="false" outlineLevel="0" collapsed="false">
      <c r="A251" s="30"/>
      <c r="B251" s="31"/>
      <c r="C251" s="32"/>
      <c r="D251" s="31"/>
      <c r="E251" s="33" t="str">
        <f aca="false">IF(COUNTA(A251:D251)=0,"",IF(COUNTA(A251:C251)&lt;3,"⚠未入力",IF(OR(A251&lt;設定!$C$8,A251&gt;設定!$C$9),"⚠期間外",IF(COUNTIF(設定!$B$15:$B$29,B251)=0,"⚠項目不明",""))))</f>
        <v/>
      </c>
    </row>
    <row r="252" customFormat="false" ht="15" hidden="false" customHeight="false" outlineLevel="0" collapsed="false">
      <c r="A252" s="30"/>
      <c r="B252" s="31"/>
      <c r="C252" s="32"/>
      <c r="D252" s="31"/>
      <c r="E252" s="33" t="str">
        <f aca="false">IF(COUNTA(A252:D252)=0,"",IF(COUNTA(A252:C252)&lt;3,"⚠未入力",IF(OR(A252&lt;設定!$C$8,A252&gt;設定!$C$9),"⚠期間外",IF(COUNTIF(設定!$B$15:$B$29,B252)=0,"⚠項目不明",""))))</f>
        <v/>
      </c>
    </row>
    <row r="253" customFormat="false" ht="15" hidden="false" customHeight="false" outlineLevel="0" collapsed="false">
      <c r="A253" s="30"/>
      <c r="B253" s="31"/>
      <c r="C253" s="32"/>
      <c r="D253" s="31"/>
      <c r="E253" s="33" t="str">
        <f aca="false">IF(COUNTA(A253:D253)=0,"",IF(COUNTA(A253:C253)&lt;3,"⚠未入力",IF(OR(A253&lt;設定!$C$8,A253&gt;設定!$C$9),"⚠期間外",IF(COUNTIF(設定!$B$15:$B$29,B253)=0,"⚠項目不明",""))))</f>
        <v/>
      </c>
    </row>
    <row r="254" customFormat="false" ht="15" hidden="false" customHeight="false" outlineLevel="0" collapsed="false">
      <c r="A254" s="30"/>
      <c r="B254" s="31"/>
      <c r="C254" s="32"/>
      <c r="D254" s="31"/>
      <c r="E254" s="33" t="str">
        <f aca="false">IF(COUNTA(A254:D254)=0,"",IF(COUNTA(A254:C254)&lt;3,"⚠未入力",IF(OR(A254&lt;設定!$C$8,A254&gt;設定!$C$9),"⚠期間外",IF(COUNTIF(設定!$B$15:$B$29,B254)=0,"⚠項目不明",""))))</f>
        <v/>
      </c>
    </row>
    <row r="255" customFormat="false" ht="15" hidden="false" customHeight="false" outlineLevel="0" collapsed="false">
      <c r="A255" s="30"/>
      <c r="B255" s="31"/>
      <c r="C255" s="32"/>
      <c r="D255" s="31"/>
      <c r="E255" s="33" t="str">
        <f aca="false">IF(COUNTA(A255:D255)=0,"",IF(COUNTA(A255:C255)&lt;3,"⚠未入力",IF(OR(A255&lt;設定!$C$8,A255&gt;設定!$C$9),"⚠期間外",IF(COUNTIF(設定!$B$15:$B$29,B255)=0,"⚠項目不明",""))))</f>
        <v/>
      </c>
    </row>
    <row r="256" customFormat="false" ht="15" hidden="false" customHeight="false" outlineLevel="0" collapsed="false">
      <c r="A256" s="30"/>
      <c r="B256" s="31"/>
      <c r="C256" s="32"/>
      <c r="D256" s="31"/>
      <c r="E256" s="33" t="str">
        <f aca="false">IF(COUNTA(A256:D256)=0,"",IF(COUNTA(A256:C256)&lt;3,"⚠未入力",IF(OR(A256&lt;設定!$C$8,A256&gt;設定!$C$9),"⚠期間外",IF(COUNTIF(設定!$B$15:$B$29,B256)=0,"⚠項目不明",""))))</f>
        <v/>
      </c>
    </row>
    <row r="257" customFormat="false" ht="15" hidden="false" customHeight="false" outlineLevel="0" collapsed="false">
      <c r="A257" s="30"/>
      <c r="B257" s="31"/>
      <c r="C257" s="32"/>
      <c r="D257" s="31"/>
      <c r="E257" s="33" t="str">
        <f aca="false">IF(COUNTA(A257:D257)=0,"",IF(COUNTA(A257:C257)&lt;3,"⚠未入力",IF(OR(A257&lt;設定!$C$8,A257&gt;設定!$C$9),"⚠期間外",IF(COUNTIF(設定!$B$15:$B$29,B257)=0,"⚠項目不明",""))))</f>
        <v/>
      </c>
    </row>
    <row r="258" customFormat="false" ht="15" hidden="false" customHeight="false" outlineLevel="0" collapsed="false">
      <c r="A258" s="30"/>
      <c r="B258" s="31"/>
      <c r="C258" s="32"/>
      <c r="D258" s="31"/>
      <c r="E258" s="33" t="str">
        <f aca="false">IF(COUNTA(A258:D258)=0,"",IF(COUNTA(A258:C258)&lt;3,"⚠未入力",IF(OR(A258&lt;設定!$C$8,A258&gt;設定!$C$9),"⚠期間外",IF(COUNTIF(設定!$B$15:$B$29,B258)=0,"⚠項目不明",""))))</f>
        <v/>
      </c>
    </row>
    <row r="259" customFormat="false" ht="15" hidden="false" customHeight="false" outlineLevel="0" collapsed="false">
      <c r="A259" s="30"/>
      <c r="B259" s="31"/>
      <c r="C259" s="32"/>
      <c r="D259" s="31"/>
      <c r="E259" s="33" t="str">
        <f aca="false">IF(COUNTA(A259:D259)=0,"",IF(COUNTA(A259:C259)&lt;3,"⚠未入力",IF(OR(A259&lt;設定!$C$8,A259&gt;設定!$C$9),"⚠期間外",IF(COUNTIF(設定!$B$15:$B$29,B259)=0,"⚠項目不明",""))))</f>
        <v/>
      </c>
    </row>
    <row r="260" customFormat="false" ht="15" hidden="false" customHeight="false" outlineLevel="0" collapsed="false">
      <c r="A260" s="30"/>
      <c r="B260" s="31"/>
      <c r="C260" s="32"/>
      <c r="D260" s="31"/>
      <c r="E260" s="33" t="str">
        <f aca="false">IF(COUNTA(A260:D260)=0,"",IF(COUNTA(A260:C260)&lt;3,"⚠未入力",IF(OR(A260&lt;設定!$C$8,A260&gt;設定!$C$9),"⚠期間外",IF(COUNTIF(設定!$B$15:$B$29,B260)=0,"⚠項目不明",""))))</f>
        <v/>
      </c>
    </row>
    <row r="261" customFormat="false" ht="15" hidden="false" customHeight="false" outlineLevel="0" collapsed="false">
      <c r="A261" s="30"/>
      <c r="B261" s="31"/>
      <c r="C261" s="32"/>
      <c r="D261" s="31"/>
      <c r="E261" s="33" t="str">
        <f aca="false">IF(COUNTA(A261:D261)=0,"",IF(COUNTA(A261:C261)&lt;3,"⚠未入力",IF(OR(A261&lt;設定!$C$8,A261&gt;設定!$C$9),"⚠期間外",IF(COUNTIF(設定!$B$15:$B$29,B261)=0,"⚠項目不明",""))))</f>
        <v/>
      </c>
    </row>
    <row r="262" customFormat="false" ht="15" hidden="false" customHeight="false" outlineLevel="0" collapsed="false">
      <c r="A262" s="30"/>
      <c r="B262" s="31"/>
      <c r="C262" s="32"/>
      <c r="D262" s="31"/>
      <c r="E262" s="33" t="str">
        <f aca="false">IF(COUNTA(A262:D262)=0,"",IF(COUNTA(A262:C262)&lt;3,"⚠未入力",IF(OR(A262&lt;設定!$C$8,A262&gt;設定!$C$9),"⚠期間外",IF(COUNTIF(設定!$B$15:$B$29,B262)=0,"⚠項目不明",""))))</f>
        <v/>
      </c>
    </row>
    <row r="263" customFormat="false" ht="15" hidden="false" customHeight="false" outlineLevel="0" collapsed="false">
      <c r="A263" s="30"/>
      <c r="B263" s="31"/>
      <c r="C263" s="32"/>
      <c r="D263" s="31"/>
      <c r="E263" s="33" t="str">
        <f aca="false">IF(COUNTA(A263:D263)=0,"",IF(COUNTA(A263:C263)&lt;3,"⚠未入力",IF(OR(A263&lt;設定!$C$8,A263&gt;設定!$C$9),"⚠期間外",IF(COUNTIF(設定!$B$15:$B$29,B263)=0,"⚠項目不明",""))))</f>
        <v/>
      </c>
    </row>
    <row r="264" customFormat="false" ht="15" hidden="false" customHeight="false" outlineLevel="0" collapsed="false">
      <c r="A264" s="30"/>
      <c r="B264" s="31"/>
      <c r="C264" s="32"/>
      <c r="D264" s="31"/>
      <c r="E264" s="33" t="str">
        <f aca="false">IF(COUNTA(A264:D264)=0,"",IF(COUNTA(A264:C264)&lt;3,"⚠未入力",IF(OR(A264&lt;設定!$C$8,A264&gt;設定!$C$9),"⚠期間外",IF(COUNTIF(設定!$B$15:$B$29,B264)=0,"⚠項目不明",""))))</f>
        <v/>
      </c>
    </row>
    <row r="265" customFormat="false" ht="15" hidden="false" customHeight="false" outlineLevel="0" collapsed="false">
      <c r="A265" s="30"/>
      <c r="B265" s="31"/>
      <c r="C265" s="32"/>
      <c r="D265" s="31"/>
      <c r="E265" s="33" t="str">
        <f aca="false">IF(COUNTA(A265:D265)=0,"",IF(COUNTA(A265:C265)&lt;3,"⚠未入力",IF(OR(A265&lt;設定!$C$8,A265&gt;設定!$C$9),"⚠期間外",IF(COUNTIF(設定!$B$15:$B$29,B265)=0,"⚠項目不明",""))))</f>
        <v/>
      </c>
    </row>
    <row r="266" customFormat="false" ht="15" hidden="false" customHeight="false" outlineLevel="0" collapsed="false">
      <c r="A266" s="30"/>
      <c r="B266" s="31"/>
      <c r="C266" s="32"/>
      <c r="D266" s="31"/>
      <c r="E266" s="33" t="str">
        <f aca="false">IF(COUNTA(A266:D266)=0,"",IF(COUNTA(A266:C266)&lt;3,"⚠未入力",IF(OR(A266&lt;設定!$C$8,A266&gt;設定!$C$9),"⚠期間外",IF(COUNTIF(設定!$B$15:$B$29,B266)=0,"⚠項目不明",""))))</f>
        <v/>
      </c>
    </row>
    <row r="267" customFormat="false" ht="15" hidden="false" customHeight="false" outlineLevel="0" collapsed="false">
      <c r="A267" s="30"/>
      <c r="B267" s="31"/>
      <c r="C267" s="32"/>
      <c r="D267" s="31"/>
      <c r="E267" s="33" t="str">
        <f aca="false">IF(COUNTA(A267:D267)=0,"",IF(COUNTA(A267:C267)&lt;3,"⚠未入力",IF(OR(A267&lt;設定!$C$8,A267&gt;設定!$C$9),"⚠期間外",IF(COUNTIF(設定!$B$15:$B$29,B267)=0,"⚠項目不明",""))))</f>
        <v/>
      </c>
    </row>
    <row r="268" customFormat="false" ht="15" hidden="false" customHeight="false" outlineLevel="0" collapsed="false">
      <c r="A268" s="30"/>
      <c r="B268" s="31"/>
      <c r="C268" s="32"/>
      <c r="D268" s="31"/>
      <c r="E268" s="33" t="str">
        <f aca="false">IF(COUNTA(A268:D268)=0,"",IF(COUNTA(A268:C268)&lt;3,"⚠未入力",IF(OR(A268&lt;設定!$C$8,A268&gt;設定!$C$9),"⚠期間外",IF(COUNTIF(設定!$B$15:$B$29,B268)=0,"⚠項目不明",""))))</f>
        <v/>
      </c>
    </row>
    <row r="269" customFormat="false" ht="15" hidden="false" customHeight="false" outlineLevel="0" collapsed="false">
      <c r="A269" s="30"/>
      <c r="B269" s="31"/>
      <c r="C269" s="32"/>
      <c r="D269" s="31"/>
      <c r="E269" s="33" t="str">
        <f aca="false">IF(COUNTA(A269:D269)=0,"",IF(COUNTA(A269:C269)&lt;3,"⚠未入力",IF(OR(A269&lt;設定!$C$8,A269&gt;設定!$C$9),"⚠期間外",IF(COUNTIF(設定!$B$15:$B$29,B269)=0,"⚠項目不明",""))))</f>
        <v/>
      </c>
    </row>
    <row r="270" customFormat="false" ht="15" hidden="false" customHeight="false" outlineLevel="0" collapsed="false">
      <c r="A270" s="30"/>
      <c r="B270" s="31"/>
      <c r="C270" s="32"/>
      <c r="D270" s="31"/>
      <c r="E270" s="33" t="str">
        <f aca="false">IF(COUNTA(A270:D270)=0,"",IF(COUNTA(A270:C270)&lt;3,"⚠未入力",IF(OR(A270&lt;設定!$C$8,A270&gt;設定!$C$9),"⚠期間外",IF(COUNTIF(設定!$B$15:$B$29,B270)=0,"⚠項目不明",""))))</f>
        <v/>
      </c>
    </row>
    <row r="271" customFormat="false" ht="15" hidden="false" customHeight="false" outlineLevel="0" collapsed="false">
      <c r="A271" s="30"/>
      <c r="B271" s="31"/>
      <c r="C271" s="32"/>
      <c r="D271" s="31"/>
      <c r="E271" s="33" t="str">
        <f aca="false">IF(COUNTA(A271:D271)=0,"",IF(COUNTA(A271:C271)&lt;3,"⚠未入力",IF(OR(A271&lt;設定!$C$8,A271&gt;設定!$C$9),"⚠期間外",IF(COUNTIF(設定!$B$15:$B$29,B271)=0,"⚠項目不明",""))))</f>
        <v/>
      </c>
    </row>
    <row r="272" customFormat="false" ht="15" hidden="false" customHeight="false" outlineLevel="0" collapsed="false">
      <c r="A272" s="30"/>
      <c r="B272" s="31"/>
      <c r="C272" s="32"/>
      <c r="D272" s="31"/>
      <c r="E272" s="33" t="str">
        <f aca="false">IF(COUNTA(A272:D272)=0,"",IF(COUNTA(A272:C272)&lt;3,"⚠未入力",IF(OR(A272&lt;設定!$C$8,A272&gt;設定!$C$9),"⚠期間外",IF(COUNTIF(設定!$B$15:$B$29,B272)=0,"⚠項目不明",""))))</f>
        <v/>
      </c>
    </row>
    <row r="273" customFormat="false" ht="15" hidden="false" customHeight="false" outlineLevel="0" collapsed="false">
      <c r="A273" s="30"/>
      <c r="B273" s="31"/>
      <c r="C273" s="32"/>
      <c r="D273" s="31"/>
      <c r="E273" s="33" t="str">
        <f aca="false">IF(COUNTA(A273:D273)=0,"",IF(COUNTA(A273:C273)&lt;3,"⚠未入力",IF(OR(A273&lt;設定!$C$8,A273&gt;設定!$C$9),"⚠期間外",IF(COUNTIF(設定!$B$15:$B$29,B273)=0,"⚠項目不明",""))))</f>
        <v/>
      </c>
    </row>
    <row r="274" customFormat="false" ht="15" hidden="false" customHeight="false" outlineLevel="0" collapsed="false">
      <c r="A274" s="30"/>
      <c r="B274" s="31"/>
      <c r="C274" s="32"/>
      <c r="D274" s="31"/>
      <c r="E274" s="33" t="str">
        <f aca="false">IF(COUNTA(A274:D274)=0,"",IF(COUNTA(A274:C274)&lt;3,"⚠未入力",IF(OR(A274&lt;設定!$C$8,A274&gt;設定!$C$9),"⚠期間外",IF(COUNTIF(設定!$B$15:$B$29,B274)=0,"⚠項目不明",""))))</f>
        <v/>
      </c>
    </row>
    <row r="275" customFormat="false" ht="15" hidden="false" customHeight="false" outlineLevel="0" collapsed="false">
      <c r="A275" s="30"/>
      <c r="B275" s="31"/>
      <c r="C275" s="32"/>
      <c r="D275" s="31"/>
      <c r="E275" s="33" t="str">
        <f aca="false">IF(COUNTA(A275:D275)=0,"",IF(COUNTA(A275:C275)&lt;3,"⚠未入力",IF(OR(A275&lt;設定!$C$8,A275&gt;設定!$C$9),"⚠期間外",IF(COUNTIF(設定!$B$15:$B$29,B275)=0,"⚠項目不明",""))))</f>
        <v/>
      </c>
    </row>
    <row r="276" customFormat="false" ht="15" hidden="false" customHeight="false" outlineLevel="0" collapsed="false">
      <c r="A276" s="30"/>
      <c r="B276" s="31"/>
      <c r="C276" s="32"/>
      <c r="D276" s="31"/>
      <c r="E276" s="33" t="str">
        <f aca="false">IF(COUNTA(A276:D276)=0,"",IF(COUNTA(A276:C276)&lt;3,"⚠未入力",IF(OR(A276&lt;設定!$C$8,A276&gt;設定!$C$9),"⚠期間外",IF(COUNTIF(設定!$B$15:$B$29,B276)=0,"⚠項目不明",""))))</f>
        <v/>
      </c>
    </row>
    <row r="277" customFormat="false" ht="15" hidden="false" customHeight="false" outlineLevel="0" collapsed="false">
      <c r="A277" s="30"/>
      <c r="B277" s="31"/>
      <c r="C277" s="32"/>
      <c r="D277" s="31"/>
      <c r="E277" s="33" t="str">
        <f aca="false">IF(COUNTA(A277:D277)=0,"",IF(COUNTA(A277:C277)&lt;3,"⚠未入力",IF(OR(A277&lt;設定!$C$8,A277&gt;設定!$C$9),"⚠期間外",IF(COUNTIF(設定!$B$15:$B$29,B277)=0,"⚠項目不明",""))))</f>
        <v/>
      </c>
    </row>
    <row r="278" customFormat="false" ht="15" hidden="false" customHeight="false" outlineLevel="0" collapsed="false">
      <c r="A278" s="30"/>
      <c r="B278" s="31"/>
      <c r="C278" s="32"/>
      <c r="D278" s="31"/>
      <c r="E278" s="33" t="str">
        <f aca="false">IF(COUNTA(A278:D278)=0,"",IF(COUNTA(A278:C278)&lt;3,"⚠未入力",IF(OR(A278&lt;設定!$C$8,A278&gt;設定!$C$9),"⚠期間外",IF(COUNTIF(設定!$B$15:$B$29,B278)=0,"⚠項目不明",""))))</f>
        <v/>
      </c>
    </row>
    <row r="279" customFormat="false" ht="15" hidden="false" customHeight="false" outlineLevel="0" collapsed="false">
      <c r="A279" s="30"/>
      <c r="B279" s="31"/>
      <c r="C279" s="32"/>
      <c r="D279" s="31"/>
      <c r="E279" s="33" t="str">
        <f aca="false">IF(COUNTA(A279:D279)=0,"",IF(COUNTA(A279:C279)&lt;3,"⚠未入力",IF(OR(A279&lt;設定!$C$8,A279&gt;設定!$C$9),"⚠期間外",IF(COUNTIF(設定!$B$15:$B$29,B279)=0,"⚠項目不明",""))))</f>
        <v/>
      </c>
    </row>
    <row r="280" customFormat="false" ht="15" hidden="false" customHeight="false" outlineLevel="0" collapsed="false">
      <c r="A280" s="30"/>
      <c r="B280" s="31"/>
      <c r="C280" s="32"/>
      <c r="D280" s="31"/>
      <c r="E280" s="33" t="str">
        <f aca="false">IF(COUNTA(A280:D280)=0,"",IF(COUNTA(A280:C280)&lt;3,"⚠未入力",IF(OR(A280&lt;設定!$C$8,A280&gt;設定!$C$9),"⚠期間外",IF(COUNTIF(設定!$B$15:$B$29,B280)=0,"⚠項目不明",""))))</f>
        <v/>
      </c>
    </row>
    <row r="281" customFormat="false" ht="15" hidden="false" customHeight="false" outlineLevel="0" collapsed="false">
      <c r="A281" s="30"/>
      <c r="B281" s="31"/>
      <c r="C281" s="32"/>
      <c r="D281" s="31"/>
      <c r="E281" s="33" t="str">
        <f aca="false">IF(COUNTA(A281:D281)=0,"",IF(COUNTA(A281:C281)&lt;3,"⚠未入力",IF(OR(A281&lt;設定!$C$8,A281&gt;設定!$C$9),"⚠期間外",IF(COUNTIF(設定!$B$15:$B$29,B281)=0,"⚠項目不明",""))))</f>
        <v/>
      </c>
    </row>
    <row r="282" customFormat="false" ht="15" hidden="false" customHeight="false" outlineLevel="0" collapsed="false">
      <c r="A282" s="30"/>
      <c r="B282" s="31"/>
      <c r="C282" s="32"/>
      <c r="D282" s="31"/>
      <c r="E282" s="33" t="str">
        <f aca="false">IF(COUNTA(A282:D282)=0,"",IF(COUNTA(A282:C282)&lt;3,"⚠未入力",IF(OR(A282&lt;設定!$C$8,A282&gt;設定!$C$9),"⚠期間外",IF(COUNTIF(設定!$B$15:$B$29,B282)=0,"⚠項目不明",""))))</f>
        <v/>
      </c>
    </row>
    <row r="283" customFormat="false" ht="15" hidden="false" customHeight="false" outlineLevel="0" collapsed="false">
      <c r="A283" s="30"/>
      <c r="B283" s="31"/>
      <c r="C283" s="32"/>
      <c r="D283" s="31"/>
      <c r="E283" s="33" t="str">
        <f aca="false">IF(COUNTA(A283:D283)=0,"",IF(COUNTA(A283:C283)&lt;3,"⚠未入力",IF(OR(A283&lt;設定!$C$8,A283&gt;設定!$C$9),"⚠期間外",IF(COUNTIF(設定!$B$15:$B$29,B283)=0,"⚠項目不明",""))))</f>
        <v/>
      </c>
    </row>
    <row r="284" customFormat="false" ht="15" hidden="false" customHeight="false" outlineLevel="0" collapsed="false">
      <c r="A284" s="30"/>
      <c r="B284" s="31"/>
      <c r="C284" s="32"/>
      <c r="D284" s="31"/>
      <c r="E284" s="33" t="str">
        <f aca="false">IF(COUNTA(A284:D284)=0,"",IF(COUNTA(A284:C284)&lt;3,"⚠未入力",IF(OR(A284&lt;設定!$C$8,A284&gt;設定!$C$9),"⚠期間外",IF(COUNTIF(設定!$B$15:$B$29,B284)=0,"⚠項目不明",""))))</f>
        <v/>
      </c>
    </row>
    <row r="285" customFormat="false" ht="15" hidden="false" customHeight="false" outlineLevel="0" collapsed="false">
      <c r="A285" s="30"/>
      <c r="B285" s="31"/>
      <c r="C285" s="32"/>
      <c r="D285" s="31"/>
      <c r="E285" s="33" t="str">
        <f aca="false">IF(COUNTA(A285:D285)=0,"",IF(COUNTA(A285:C285)&lt;3,"⚠未入力",IF(OR(A285&lt;設定!$C$8,A285&gt;設定!$C$9),"⚠期間外",IF(COUNTIF(設定!$B$15:$B$29,B285)=0,"⚠項目不明",""))))</f>
        <v/>
      </c>
    </row>
    <row r="286" customFormat="false" ht="15" hidden="false" customHeight="false" outlineLevel="0" collapsed="false">
      <c r="A286" s="30"/>
      <c r="B286" s="31"/>
      <c r="C286" s="32"/>
      <c r="D286" s="31"/>
      <c r="E286" s="33" t="str">
        <f aca="false">IF(COUNTA(A286:D286)=0,"",IF(COUNTA(A286:C286)&lt;3,"⚠未入力",IF(OR(A286&lt;設定!$C$8,A286&gt;設定!$C$9),"⚠期間外",IF(COUNTIF(設定!$B$15:$B$29,B286)=0,"⚠項目不明",""))))</f>
        <v/>
      </c>
    </row>
    <row r="287" customFormat="false" ht="15" hidden="false" customHeight="false" outlineLevel="0" collapsed="false">
      <c r="A287" s="30"/>
      <c r="B287" s="31"/>
      <c r="C287" s="32"/>
      <c r="D287" s="31"/>
      <c r="E287" s="33" t="str">
        <f aca="false">IF(COUNTA(A287:D287)=0,"",IF(COUNTA(A287:C287)&lt;3,"⚠未入力",IF(OR(A287&lt;設定!$C$8,A287&gt;設定!$C$9),"⚠期間外",IF(COUNTIF(設定!$B$15:$B$29,B287)=0,"⚠項目不明",""))))</f>
        <v/>
      </c>
    </row>
    <row r="288" customFormat="false" ht="15" hidden="false" customHeight="false" outlineLevel="0" collapsed="false">
      <c r="A288" s="30"/>
      <c r="B288" s="31"/>
      <c r="C288" s="32"/>
      <c r="D288" s="31"/>
      <c r="E288" s="33" t="str">
        <f aca="false">IF(COUNTA(A288:D288)=0,"",IF(COUNTA(A288:C288)&lt;3,"⚠未入力",IF(OR(A288&lt;設定!$C$8,A288&gt;設定!$C$9),"⚠期間外",IF(COUNTIF(設定!$B$15:$B$29,B288)=0,"⚠項目不明",""))))</f>
        <v/>
      </c>
    </row>
    <row r="289" customFormat="false" ht="15" hidden="false" customHeight="false" outlineLevel="0" collapsed="false">
      <c r="A289" s="30"/>
      <c r="B289" s="31"/>
      <c r="C289" s="32"/>
      <c r="D289" s="31"/>
      <c r="E289" s="33" t="str">
        <f aca="false">IF(COUNTA(A289:D289)=0,"",IF(COUNTA(A289:C289)&lt;3,"⚠未入力",IF(OR(A289&lt;設定!$C$8,A289&gt;設定!$C$9),"⚠期間外",IF(COUNTIF(設定!$B$15:$B$29,B289)=0,"⚠項目不明",""))))</f>
        <v/>
      </c>
    </row>
    <row r="290" customFormat="false" ht="15" hidden="false" customHeight="false" outlineLevel="0" collapsed="false">
      <c r="A290" s="30"/>
      <c r="B290" s="31"/>
      <c r="C290" s="32"/>
      <c r="D290" s="31"/>
      <c r="E290" s="33" t="str">
        <f aca="false">IF(COUNTA(A290:D290)=0,"",IF(COUNTA(A290:C290)&lt;3,"⚠未入力",IF(OR(A290&lt;設定!$C$8,A290&gt;設定!$C$9),"⚠期間外",IF(COUNTIF(設定!$B$15:$B$29,B290)=0,"⚠項目不明",""))))</f>
        <v/>
      </c>
    </row>
    <row r="291" customFormat="false" ht="15" hidden="false" customHeight="false" outlineLevel="0" collapsed="false">
      <c r="A291" s="30"/>
      <c r="B291" s="31"/>
      <c r="C291" s="32"/>
      <c r="D291" s="31"/>
      <c r="E291" s="33" t="str">
        <f aca="false">IF(COUNTA(A291:D291)=0,"",IF(COUNTA(A291:C291)&lt;3,"⚠未入力",IF(OR(A291&lt;設定!$C$8,A291&gt;設定!$C$9),"⚠期間外",IF(COUNTIF(設定!$B$15:$B$29,B291)=0,"⚠項目不明",""))))</f>
        <v/>
      </c>
    </row>
    <row r="292" customFormat="false" ht="15" hidden="false" customHeight="false" outlineLevel="0" collapsed="false">
      <c r="A292" s="30"/>
      <c r="B292" s="31"/>
      <c r="C292" s="32"/>
      <c r="D292" s="31"/>
      <c r="E292" s="33" t="str">
        <f aca="false">IF(COUNTA(A292:D292)=0,"",IF(COUNTA(A292:C292)&lt;3,"⚠未入力",IF(OR(A292&lt;設定!$C$8,A292&gt;設定!$C$9),"⚠期間外",IF(COUNTIF(設定!$B$15:$B$29,B292)=0,"⚠項目不明",""))))</f>
        <v/>
      </c>
    </row>
    <row r="293" customFormat="false" ht="15" hidden="false" customHeight="false" outlineLevel="0" collapsed="false">
      <c r="A293" s="30"/>
      <c r="B293" s="31"/>
      <c r="C293" s="32"/>
      <c r="D293" s="31"/>
      <c r="E293" s="33" t="str">
        <f aca="false">IF(COUNTA(A293:D293)=0,"",IF(COUNTA(A293:C293)&lt;3,"⚠未入力",IF(OR(A293&lt;設定!$C$8,A293&gt;設定!$C$9),"⚠期間外",IF(COUNTIF(設定!$B$15:$B$29,B293)=0,"⚠項目不明",""))))</f>
        <v/>
      </c>
    </row>
    <row r="294" customFormat="false" ht="15" hidden="false" customHeight="false" outlineLevel="0" collapsed="false">
      <c r="A294" s="30"/>
      <c r="B294" s="31"/>
      <c r="C294" s="32"/>
      <c r="D294" s="31"/>
      <c r="E294" s="33" t="str">
        <f aca="false">IF(COUNTA(A294:D294)=0,"",IF(COUNTA(A294:C294)&lt;3,"⚠未入力",IF(OR(A294&lt;設定!$C$8,A294&gt;設定!$C$9),"⚠期間外",IF(COUNTIF(設定!$B$15:$B$29,B294)=0,"⚠項目不明",""))))</f>
        <v/>
      </c>
    </row>
    <row r="295" customFormat="false" ht="15" hidden="false" customHeight="false" outlineLevel="0" collapsed="false">
      <c r="A295" s="30"/>
      <c r="B295" s="31"/>
      <c r="C295" s="32"/>
      <c r="D295" s="31"/>
      <c r="E295" s="33" t="str">
        <f aca="false">IF(COUNTA(A295:D295)=0,"",IF(COUNTA(A295:C295)&lt;3,"⚠未入力",IF(OR(A295&lt;設定!$C$8,A295&gt;設定!$C$9),"⚠期間外",IF(COUNTIF(設定!$B$15:$B$29,B295)=0,"⚠項目不明",""))))</f>
        <v/>
      </c>
    </row>
    <row r="296" customFormat="false" ht="15" hidden="false" customHeight="false" outlineLevel="0" collapsed="false">
      <c r="A296" s="30"/>
      <c r="B296" s="31"/>
      <c r="C296" s="32"/>
      <c r="D296" s="31"/>
      <c r="E296" s="33" t="str">
        <f aca="false">IF(COUNTA(A296:D296)=0,"",IF(COUNTA(A296:C296)&lt;3,"⚠未入力",IF(OR(A296&lt;設定!$C$8,A296&gt;設定!$C$9),"⚠期間外",IF(COUNTIF(設定!$B$15:$B$29,B296)=0,"⚠項目不明",""))))</f>
        <v/>
      </c>
    </row>
    <row r="297" customFormat="false" ht="15" hidden="false" customHeight="false" outlineLevel="0" collapsed="false">
      <c r="A297" s="30"/>
      <c r="B297" s="31"/>
      <c r="C297" s="32"/>
      <c r="D297" s="31"/>
      <c r="E297" s="33" t="str">
        <f aca="false">IF(COUNTA(A297:D297)=0,"",IF(COUNTA(A297:C297)&lt;3,"⚠未入力",IF(OR(A297&lt;設定!$C$8,A297&gt;設定!$C$9),"⚠期間外",IF(COUNTIF(設定!$B$15:$B$29,B297)=0,"⚠項目不明",""))))</f>
        <v/>
      </c>
    </row>
    <row r="298" customFormat="false" ht="15" hidden="false" customHeight="false" outlineLevel="0" collapsed="false">
      <c r="A298" s="30"/>
      <c r="B298" s="31"/>
      <c r="C298" s="32"/>
      <c r="D298" s="31"/>
      <c r="E298" s="33" t="str">
        <f aca="false">IF(COUNTA(A298:D298)=0,"",IF(COUNTA(A298:C298)&lt;3,"⚠未入力",IF(OR(A298&lt;設定!$C$8,A298&gt;設定!$C$9),"⚠期間外",IF(COUNTIF(設定!$B$15:$B$29,B298)=0,"⚠項目不明",""))))</f>
        <v/>
      </c>
    </row>
    <row r="299" customFormat="false" ht="15" hidden="false" customHeight="false" outlineLevel="0" collapsed="false">
      <c r="A299" s="30"/>
      <c r="B299" s="31"/>
      <c r="C299" s="32"/>
      <c r="D299" s="31"/>
      <c r="E299" s="33" t="str">
        <f aca="false">IF(COUNTA(A299:D299)=0,"",IF(COUNTA(A299:C299)&lt;3,"⚠未入力",IF(OR(A299&lt;設定!$C$8,A299&gt;設定!$C$9),"⚠期間外",IF(COUNTIF(設定!$B$15:$B$29,B299)=0,"⚠項目不明",""))))</f>
        <v/>
      </c>
    </row>
    <row r="300" customFormat="false" ht="15" hidden="false" customHeight="false" outlineLevel="0" collapsed="false">
      <c r="A300" s="30"/>
      <c r="B300" s="31"/>
      <c r="C300" s="32"/>
      <c r="D300" s="31"/>
      <c r="E300" s="33" t="str">
        <f aca="false">IF(COUNTA(A300:D300)=0,"",IF(COUNTA(A300:C300)&lt;3,"⚠未入力",IF(OR(A300&lt;設定!$C$8,A300&gt;設定!$C$9),"⚠期間外",IF(COUNTIF(設定!$B$15:$B$29,B300)=0,"⚠項目不明",""))))</f>
        <v/>
      </c>
    </row>
    <row r="301" customFormat="false" ht="15" hidden="false" customHeight="false" outlineLevel="0" collapsed="false">
      <c r="A301" s="30"/>
      <c r="B301" s="31"/>
      <c r="C301" s="32"/>
      <c r="D301" s="31"/>
      <c r="E301" s="33" t="str">
        <f aca="false">IF(COUNTA(A301:D301)=0,"",IF(COUNTA(A301:C301)&lt;3,"⚠未入力",IF(OR(A301&lt;設定!$C$8,A301&gt;設定!$C$9),"⚠期間外",IF(COUNTIF(設定!$B$15:$B$29,B301)=0,"⚠項目不明",""))))</f>
        <v/>
      </c>
    </row>
    <row r="302" customFormat="false" ht="15" hidden="false" customHeight="false" outlineLevel="0" collapsed="false">
      <c r="A302" s="30"/>
      <c r="B302" s="31"/>
      <c r="C302" s="32"/>
      <c r="D302" s="31"/>
      <c r="E302" s="33" t="str">
        <f aca="false">IF(COUNTA(A302:D302)=0,"",IF(COUNTA(A302:C302)&lt;3,"⚠未入力",IF(OR(A302&lt;設定!$C$8,A302&gt;設定!$C$9),"⚠期間外",IF(COUNTIF(設定!$B$15:$B$29,B302)=0,"⚠項目不明",""))))</f>
        <v/>
      </c>
    </row>
    <row r="303" customFormat="false" ht="15" hidden="false" customHeight="false" outlineLevel="0" collapsed="false">
      <c r="A303" s="30"/>
      <c r="B303" s="31"/>
      <c r="C303" s="32"/>
      <c r="D303" s="31"/>
      <c r="E303" s="33" t="str">
        <f aca="false">IF(COUNTA(A303:D303)=0,"",IF(COUNTA(A303:C303)&lt;3,"⚠未入力",IF(OR(A303&lt;設定!$C$8,A303&gt;設定!$C$9),"⚠期間外",IF(COUNTIF(設定!$B$15:$B$29,B303)=0,"⚠項目不明",""))))</f>
        <v/>
      </c>
    </row>
    <row r="304" customFormat="false" ht="15" hidden="false" customHeight="false" outlineLevel="0" collapsed="false">
      <c r="A304" s="30"/>
      <c r="B304" s="31"/>
      <c r="C304" s="32"/>
      <c r="D304" s="31"/>
      <c r="E304" s="33" t="str">
        <f aca="false">IF(COUNTA(A304:D304)=0,"",IF(COUNTA(A304:C304)&lt;3,"⚠未入力",IF(OR(A304&lt;設定!$C$8,A304&gt;設定!$C$9),"⚠期間外",IF(COUNTIF(設定!$B$15:$B$29,B304)=0,"⚠項目不明",""))))</f>
        <v/>
      </c>
    </row>
    <row r="305" customFormat="false" ht="15" hidden="false" customHeight="false" outlineLevel="0" collapsed="false">
      <c r="A305" s="30"/>
      <c r="B305" s="31"/>
      <c r="C305" s="32"/>
      <c r="D305" s="31"/>
      <c r="E305" s="33" t="str">
        <f aca="false">IF(COUNTA(A305:D305)=0,"",IF(COUNTA(A305:C305)&lt;3,"⚠未入力",IF(OR(A305&lt;設定!$C$8,A305&gt;設定!$C$9),"⚠期間外",IF(COUNTIF(設定!$B$15:$B$29,B305)=0,"⚠項目不明",""))))</f>
        <v/>
      </c>
    </row>
    <row r="306" customFormat="false" ht="15" hidden="false" customHeight="false" outlineLevel="0" collapsed="false">
      <c r="A306" s="30"/>
      <c r="B306" s="31"/>
      <c r="C306" s="32"/>
      <c r="D306" s="31"/>
      <c r="E306" s="33" t="str">
        <f aca="false">IF(COUNTA(A306:D306)=0,"",IF(COUNTA(A306:C306)&lt;3,"⚠未入力",IF(OR(A306&lt;設定!$C$8,A306&gt;設定!$C$9),"⚠期間外",IF(COUNTIF(設定!$B$15:$B$29,B306)=0,"⚠項目不明",""))))</f>
        <v/>
      </c>
    </row>
    <row r="307" customFormat="false" ht="15" hidden="false" customHeight="false" outlineLevel="0" collapsed="false">
      <c r="A307" s="30"/>
      <c r="B307" s="31"/>
      <c r="C307" s="32"/>
      <c r="D307" s="31"/>
      <c r="E307" s="33" t="str">
        <f aca="false">IF(COUNTA(A307:D307)=0,"",IF(COUNTA(A307:C307)&lt;3,"⚠未入力",IF(OR(A307&lt;設定!$C$8,A307&gt;設定!$C$9),"⚠期間外",IF(COUNTIF(設定!$B$15:$B$29,B307)=0,"⚠項目不明",""))))</f>
        <v/>
      </c>
    </row>
    <row r="308" customFormat="false" ht="15" hidden="false" customHeight="false" outlineLevel="0" collapsed="false">
      <c r="A308" s="30"/>
      <c r="B308" s="31"/>
      <c r="C308" s="32"/>
      <c r="D308" s="31"/>
      <c r="E308" s="33" t="str">
        <f aca="false">IF(COUNTA(A308:D308)=0,"",IF(COUNTA(A308:C308)&lt;3,"⚠未入力",IF(OR(A308&lt;設定!$C$8,A308&gt;設定!$C$9),"⚠期間外",IF(COUNTIF(設定!$B$15:$B$29,B308)=0,"⚠項目不明",""))))</f>
        <v/>
      </c>
    </row>
    <row r="309" customFormat="false" ht="15" hidden="false" customHeight="false" outlineLevel="0" collapsed="false">
      <c r="A309" s="30"/>
      <c r="B309" s="31"/>
      <c r="C309" s="32"/>
      <c r="D309" s="31"/>
      <c r="E309" s="33" t="str">
        <f aca="false">IF(COUNTA(A309:D309)=0,"",IF(COUNTA(A309:C309)&lt;3,"⚠未入力",IF(OR(A309&lt;設定!$C$8,A309&gt;設定!$C$9),"⚠期間外",IF(COUNTIF(設定!$B$15:$B$29,B309)=0,"⚠項目不明",""))))</f>
        <v/>
      </c>
    </row>
    <row r="310" customFormat="false" ht="15" hidden="false" customHeight="false" outlineLevel="0" collapsed="false">
      <c r="A310" s="30"/>
      <c r="B310" s="31"/>
      <c r="C310" s="32"/>
      <c r="D310" s="31"/>
      <c r="E310" s="33" t="str">
        <f aca="false">IF(COUNTA(A310:D310)=0,"",IF(COUNTA(A310:C310)&lt;3,"⚠未入力",IF(OR(A310&lt;設定!$C$8,A310&gt;設定!$C$9),"⚠期間外",IF(COUNTIF(設定!$B$15:$B$29,B310)=0,"⚠項目不明",""))))</f>
        <v/>
      </c>
    </row>
    <row r="311" customFormat="false" ht="15" hidden="false" customHeight="false" outlineLevel="0" collapsed="false">
      <c r="A311" s="30"/>
      <c r="B311" s="31"/>
      <c r="C311" s="32"/>
      <c r="D311" s="31"/>
      <c r="E311" s="33" t="str">
        <f aca="false">IF(COUNTA(A311:D311)=0,"",IF(COUNTA(A311:C311)&lt;3,"⚠未入力",IF(OR(A311&lt;設定!$C$8,A311&gt;設定!$C$9),"⚠期間外",IF(COUNTIF(設定!$B$15:$B$29,B311)=0,"⚠項目不明",""))))</f>
        <v/>
      </c>
    </row>
    <row r="312" customFormat="false" ht="15" hidden="false" customHeight="false" outlineLevel="0" collapsed="false">
      <c r="A312" s="30"/>
      <c r="B312" s="31"/>
      <c r="C312" s="32"/>
      <c r="D312" s="31"/>
      <c r="E312" s="33" t="str">
        <f aca="false">IF(COUNTA(A312:D312)=0,"",IF(COUNTA(A312:C312)&lt;3,"⚠未入力",IF(OR(A312&lt;設定!$C$8,A312&gt;設定!$C$9),"⚠期間外",IF(COUNTIF(設定!$B$15:$B$29,B312)=0,"⚠項目不明",""))))</f>
        <v/>
      </c>
    </row>
    <row r="313" customFormat="false" ht="15" hidden="false" customHeight="false" outlineLevel="0" collapsed="false">
      <c r="A313" s="30"/>
      <c r="B313" s="31"/>
      <c r="C313" s="32"/>
      <c r="D313" s="31"/>
      <c r="E313" s="33" t="str">
        <f aca="false">IF(COUNTA(A313:D313)=0,"",IF(COUNTA(A313:C313)&lt;3,"⚠未入力",IF(OR(A313&lt;設定!$C$8,A313&gt;設定!$C$9),"⚠期間外",IF(COUNTIF(設定!$B$15:$B$29,B313)=0,"⚠項目不明",""))))</f>
        <v/>
      </c>
    </row>
    <row r="314" customFormat="false" ht="15" hidden="false" customHeight="false" outlineLevel="0" collapsed="false">
      <c r="A314" s="30"/>
      <c r="B314" s="31"/>
      <c r="C314" s="32"/>
      <c r="D314" s="31"/>
      <c r="E314" s="33" t="str">
        <f aca="false">IF(COUNTA(A314:D314)=0,"",IF(COUNTA(A314:C314)&lt;3,"⚠未入力",IF(OR(A314&lt;設定!$C$8,A314&gt;設定!$C$9),"⚠期間外",IF(COUNTIF(設定!$B$15:$B$29,B314)=0,"⚠項目不明",""))))</f>
        <v/>
      </c>
    </row>
    <row r="315" customFormat="false" ht="15" hidden="false" customHeight="false" outlineLevel="0" collapsed="false">
      <c r="A315" s="30"/>
      <c r="B315" s="31"/>
      <c r="C315" s="32"/>
      <c r="D315" s="31"/>
      <c r="E315" s="33" t="str">
        <f aca="false">IF(COUNTA(A315:D315)=0,"",IF(COUNTA(A315:C315)&lt;3,"⚠未入力",IF(OR(A315&lt;設定!$C$8,A315&gt;設定!$C$9),"⚠期間外",IF(COUNTIF(設定!$B$15:$B$29,B315)=0,"⚠項目不明",""))))</f>
        <v/>
      </c>
    </row>
    <row r="316" customFormat="false" ht="15" hidden="false" customHeight="false" outlineLevel="0" collapsed="false">
      <c r="A316" s="30"/>
      <c r="B316" s="31"/>
      <c r="C316" s="32"/>
      <c r="D316" s="31"/>
      <c r="E316" s="33" t="str">
        <f aca="false">IF(COUNTA(A316:D316)=0,"",IF(COUNTA(A316:C316)&lt;3,"⚠未入力",IF(OR(A316&lt;設定!$C$8,A316&gt;設定!$C$9),"⚠期間外",IF(COUNTIF(設定!$B$15:$B$29,B316)=0,"⚠項目不明",""))))</f>
        <v/>
      </c>
    </row>
    <row r="317" customFormat="false" ht="15" hidden="false" customHeight="false" outlineLevel="0" collapsed="false">
      <c r="A317" s="30"/>
      <c r="B317" s="31"/>
      <c r="C317" s="32"/>
      <c r="D317" s="31"/>
      <c r="E317" s="33" t="str">
        <f aca="false">IF(COUNTA(A317:D317)=0,"",IF(COUNTA(A317:C317)&lt;3,"⚠未入力",IF(OR(A317&lt;設定!$C$8,A317&gt;設定!$C$9),"⚠期間外",IF(COUNTIF(設定!$B$15:$B$29,B317)=0,"⚠項目不明",""))))</f>
        <v/>
      </c>
    </row>
    <row r="318" customFormat="false" ht="15" hidden="false" customHeight="false" outlineLevel="0" collapsed="false">
      <c r="A318" s="30"/>
      <c r="B318" s="31"/>
      <c r="C318" s="32"/>
      <c r="D318" s="31"/>
      <c r="E318" s="33" t="str">
        <f aca="false">IF(COUNTA(A318:D318)=0,"",IF(COUNTA(A318:C318)&lt;3,"⚠未入力",IF(OR(A318&lt;設定!$C$8,A318&gt;設定!$C$9),"⚠期間外",IF(COUNTIF(設定!$B$15:$B$29,B318)=0,"⚠項目不明",""))))</f>
        <v/>
      </c>
    </row>
    <row r="319" customFormat="false" ht="15" hidden="false" customHeight="false" outlineLevel="0" collapsed="false">
      <c r="A319" s="30"/>
      <c r="B319" s="31"/>
      <c r="C319" s="32"/>
      <c r="D319" s="31"/>
      <c r="E319" s="33" t="str">
        <f aca="false">IF(COUNTA(A319:D319)=0,"",IF(COUNTA(A319:C319)&lt;3,"⚠未入力",IF(OR(A319&lt;設定!$C$8,A319&gt;設定!$C$9),"⚠期間外",IF(COUNTIF(設定!$B$15:$B$29,B319)=0,"⚠項目不明",""))))</f>
        <v/>
      </c>
    </row>
    <row r="320" customFormat="false" ht="15" hidden="false" customHeight="false" outlineLevel="0" collapsed="false">
      <c r="A320" s="30"/>
      <c r="B320" s="31"/>
      <c r="C320" s="32"/>
      <c r="D320" s="31"/>
      <c r="E320" s="33" t="str">
        <f aca="false">IF(COUNTA(A320:D320)=0,"",IF(COUNTA(A320:C320)&lt;3,"⚠未入力",IF(OR(A320&lt;設定!$C$8,A320&gt;設定!$C$9),"⚠期間外",IF(COUNTIF(設定!$B$15:$B$29,B320)=0,"⚠項目不明",""))))</f>
        <v/>
      </c>
    </row>
    <row r="321" customFormat="false" ht="15" hidden="false" customHeight="false" outlineLevel="0" collapsed="false">
      <c r="A321" s="30"/>
      <c r="B321" s="31"/>
      <c r="C321" s="32"/>
      <c r="D321" s="31"/>
      <c r="E321" s="33" t="str">
        <f aca="false">IF(COUNTA(A321:D321)=0,"",IF(COUNTA(A321:C321)&lt;3,"⚠未入力",IF(OR(A321&lt;設定!$C$8,A321&gt;設定!$C$9),"⚠期間外",IF(COUNTIF(設定!$B$15:$B$29,B321)=0,"⚠項目不明",""))))</f>
        <v/>
      </c>
    </row>
    <row r="322" customFormat="false" ht="15" hidden="false" customHeight="false" outlineLevel="0" collapsed="false">
      <c r="A322" s="30"/>
      <c r="B322" s="31"/>
      <c r="C322" s="32"/>
      <c r="D322" s="31"/>
      <c r="E322" s="33" t="str">
        <f aca="false">IF(COUNTA(A322:D322)=0,"",IF(COUNTA(A322:C322)&lt;3,"⚠未入力",IF(OR(A322&lt;設定!$C$8,A322&gt;設定!$C$9),"⚠期間外",IF(COUNTIF(設定!$B$15:$B$29,B322)=0,"⚠項目不明",""))))</f>
        <v/>
      </c>
    </row>
    <row r="323" customFormat="false" ht="15" hidden="false" customHeight="false" outlineLevel="0" collapsed="false">
      <c r="A323" s="30"/>
      <c r="B323" s="31"/>
      <c r="C323" s="32"/>
      <c r="D323" s="31"/>
      <c r="E323" s="33" t="str">
        <f aca="false">IF(COUNTA(A323:D323)=0,"",IF(COUNTA(A323:C323)&lt;3,"⚠未入力",IF(OR(A323&lt;設定!$C$8,A323&gt;設定!$C$9),"⚠期間外",IF(COUNTIF(設定!$B$15:$B$29,B323)=0,"⚠項目不明",""))))</f>
        <v/>
      </c>
    </row>
    <row r="324" customFormat="false" ht="15" hidden="false" customHeight="false" outlineLevel="0" collapsed="false">
      <c r="A324" s="30"/>
      <c r="B324" s="31"/>
      <c r="C324" s="32"/>
      <c r="D324" s="31"/>
      <c r="E324" s="33" t="str">
        <f aca="false">IF(COUNTA(A324:D324)=0,"",IF(COUNTA(A324:C324)&lt;3,"⚠未入力",IF(OR(A324&lt;設定!$C$8,A324&gt;設定!$C$9),"⚠期間外",IF(COUNTIF(設定!$B$15:$B$29,B324)=0,"⚠項目不明",""))))</f>
        <v/>
      </c>
    </row>
    <row r="325" customFormat="false" ht="15" hidden="false" customHeight="false" outlineLevel="0" collapsed="false">
      <c r="A325" s="30"/>
      <c r="B325" s="31"/>
      <c r="C325" s="32"/>
      <c r="D325" s="31"/>
      <c r="E325" s="33" t="str">
        <f aca="false">IF(COUNTA(A325:D325)=0,"",IF(COUNTA(A325:C325)&lt;3,"⚠未入力",IF(OR(A325&lt;設定!$C$8,A325&gt;設定!$C$9),"⚠期間外",IF(COUNTIF(設定!$B$15:$B$29,B325)=0,"⚠項目不明",""))))</f>
        <v/>
      </c>
    </row>
    <row r="326" customFormat="false" ht="15" hidden="false" customHeight="false" outlineLevel="0" collapsed="false">
      <c r="A326" s="30"/>
      <c r="B326" s="31"/>
      <c r="C326" s="32"/>
      <c r="D326" s="31"/>
      <c r="E326" s="33" t="str">
        <f aca="false">IF(COUNTA(A326:D326)=0,"",IF(COUNTA(A326:C326)&lt;3,"⚠未入力",IF(OR(A326&lt;設定!$C$8,A326&gt;設定!$C$9),"⚠期間外",IF(COUNTIF(設定!$B$15:$B$29,B326)=0,"⚠項目不明",""))))</f>
        <v/>
      </c>
    </row>
    <row r="327" customFormat="false" ht="15" hidden="false" customHeight="false" outlineLevel="0" collapsed="false">
      <c r="A327" s="30"/>
      <c r="B327" s="31"/>
      <c r="C327" s="32"/>
      <c r="D327" s="31"/>
      <c r="E327" s="33" t="str">
        <f aca="false">IF(COUNTA(A327:D327)=0,"",IF(COUNTA(A327:C327)&lt;3,"⚠未入力",IF(OR(A327&lt;設定!$C$8,A327&gt;設定!$C$9),"⚠期間外",IF(COUNTIF(設定!$B$15:$B$29,B327)=0,"⚠項目不明",""))))</f>
        <v/>
      </c>
    </row>
    <row r="328" customFormat="false" ht="15" hidden="false" customHeight="false" outlineLevel="0" collapsed="false">
      <c r="A328" s="30"/>
      <c r="B328" s="31"/>
      <c r="C328" s="32"/>
      <c r="D328" s="31"/>
      <c r="E328" s="33" t="str">
        <f aca="false">IF(COUNTA(A328:D328)=0,"",IF(COUNTA(A328:C328)&lt;3,"⚠未入力",IF(OR(A328&lt;設定!$C$8,A328&gt;設定!$C$9),"⚠期間外",IF(COUNTIF(設定!$B$15:$B$29,B328)=0,"⚠項目不明",""))))</f>
        <v/>
      </c>
    </row>
    <row r="329" customFormat="false" ht="15" hidden="false" customHeight="false" outlineLevel="0" collapsed="false">
      <c r="A329" s="30"/>
      <c r="B329" s="31"/>
      <c r="C329" s="32"/>
      <c r="D329" s="31"/>
      <c r="E329" s="33" t="str">
        <f aca="false">IF(COUNTA(A329:D329)=0,"",IF(COUNTA(A329:C329)&lt;3,"⚠未入力",IF(OR(A329&lt;設定!$C$8,A329&gt;設定!$C$9),"⚠期間外",IF(COUNTIF(設定!$B$15:$B$29,B329)=0,"⚠項目不明",""))))</f>
        <v/>
      </c>
    </row>
    <row r="330" customFormat="false" ht="15" hidden="false" customHeight="false" outlineLevel="0" collapsed="false">
      <c r="A330" s="30"/>
      <c r="B330" s="31"/>
      <c r="C330" s="32"/>
      <c r="D330" s="31"/>
      <c r="E330" s="33" t="str">
        <f aca="false">IF(COUNTA(A330:D330)=0,"",IF(COUNTA(A330:C330)&lt;3,"⚠未入力",IF(OR(A330&lt;設定!$C$8,A330&gt;設定!$C$9),"⚠期間外",IF(COUNTIF(設定!$B$15:$B$29,B330)=0,"⚠項目不明",""))))</f>
        <v/>
      </c>
    </row>
    <row r="331" customFormat="false" ht="15" hidden="false" customHeight="false" outlineLevel="0" collapsed="false">
      <c r="A331" s="30"/>
      <c r="B331" s="31"/>
      <c r="C331" s="32"/>
      <c r="D331" s="31"/>
      <c r="E331" s="33" t="str">
        <f aca="false">IF(COUNTA(A331:D331)=0,"",IF(COUNTA(A331:C331)&lt;3,"⚠未入力",IF(OR(A331&lt;設定!$C$8,A331&gt;設定!$C$9),"⚠期間外",IF(COUNTIF(設定!$B$15:$B$29,B331)=0,"⚠項目不明",""))))</f>
        <v/>
      </c>
    </row>
    <row r="332" customFormat="false" ht="15" hidden="false" customHeight="false" outlineLevel="0" collapsed="false">
      <c r="A332" s="30"/>
      <c r="B332" s="31"/>
      <c r="C332" s="32"/>
      <c r="D332" s="31"/>
      <c r="E332" s="33" t="str">
        <f aca="false">IF(COUNTA(A332:D332)=0,"",IF(COUNTA(A332:C332)&lt;3,"⚠未入力",IF(OR(A332&lt;設定!$C$8,A332&gt;設定!$C$9),"⚠期間外",IF(COUNTIF(設定!$B$15:$B$29,B332)=0,"⚠項目不明",""))))</f>
        <v/>
      </c>
    </row>
    <row r="333" customFormat="false" ht="15" hidden="false" customHeight="false" outlineLevel="0" collapsed="false">
      <c r="A333" s="30"/>
      <c r="B333" s="31"/>
      <c r="C333" s="32"/>
      <c r="D333" s="31"/>
      <c r="E333" s="33" t="str">
        <f aca="false">IF(COUNTA(A333:D333)=0,"",IF(COUNTA(A333:C333)&lt;3,"⚠未入力",IF(OR(A333&lt;設定!$C$8,A333&gt;設定!$C$9),"⚠期間外",IF(COUNTIF(設定!$B$15:$B$29,B333)=0,"⚠項目不明",""))))</f>
        <v/>
      </c>
    </row>
    <row r="334" customFormat="false" ht="15" hidden="false" customHeight="false" outlineLevel="0" collapsed="false">
      <c r="A334" s="30"/>
      <c r="B334" s="31"/>
      <c r="C334" s="32"/>
      <c r="D334" s="31"/>
      <c r="E334" s="33" t="str">
        <f aca="false">IF(COUNTA(A334:D334)=0,"",IF(COUNTA(A334:C334)&lt;3,"⚠未入力",IF(OR(A334&lt;設定!$C$8,A334&gt;設定!$C$9),"⚠期間外",IF(COUNTIF(設定!$B$15:$B$29,B334)=0,"⚠項目不明",""))))</f>
        <v/>
      </c>
    </row>
    <row r="335" customFormat="false" ht="15" hidden="false" customHeight="false" outlineLevel="0" collapsed="false">
      <c r="A335" s="30"/>
      <c r="B335" s="31"/>
      <c r="C335" s="32"/>
      <c r="D335" s="31"/>
      <c r="E335" s="33" t="str">
        <f aca="false">IF(COUNTA(A335:D335)=0,"",IF(COUNTA(A335:C335)&lt;3,"⚠未入力",IF(OR(A335&lt;設定!$C$8,A335&gt;設定!$C$9),"⚠期間外",IF(COUNTIF(設定!$B$15:$B$29,B335)=0,"⚠項目不明",""))))</f>
        <v/>
      </c>
    </row>
    <row r="336" customFormat="false" ht="15" hidden="false" customHeight="false" outlineLevel="0" collapsed="false">
      <c r="A336" s="30"/>
      <c r="B336" s="31"/>
      <c r="C336" s="32"/>
      <c r="D336" s="31"/>
      <c r="E336" s="33" t="str">
        <f aca="false">IF(COUNTA(A336:D336)=0,"",IF(COUNTA(A336:C336)&lt;3,"⚠未入力",IF(OR(A336&lt;設定!$C$8,A336&gt;設定!$C$9),"⚠期間外",IF(COUNTIF(設定!$B$15:$B$29,B336)=0,"⚠項目不明",""))))</f>
        <v/>
      </c>
    </row>
    <row r="337" customFormat="false" ht="15" hidden="false" customHeight="false" outlineLevel="0" collapsed="false">
      <c r="A337" s="30"/>
      <c r="B337" s="31"/>
      <c r="C337" s="32"/>
      <c r="D337" s="31"/>
      <c r="E337" s="33" t="str">
        <f aca="false">IF(COUNTA(A337:D337)=0,"",IF(COUNTA(A337:C337)&lt;3,"⚠未入力",IF(OR(A337&lt;設定!$C$8,A337&gt;設定!$C$9),"⚠期間外",IF(COUNTIF(設定!$B$15:$B$29,B337)=0,"⚠項目不明",""))))</f>
        <v/>
      </c>
    </row>
    <row r="338" customFormat="false" ht="15" hidden="false" customHeight="false" outlineLevel="0" collapsed="false">
      <c r="A338" s="30"/>
      <c r="B338" s="31"/>
      <c r="C338" s="32"/>
      <c r="D338" s="31"/>
      <c r="E338" s="33" t="str">
        <f aca="false">IF(COUNTA(A338:D338)=0,"",IF(COUNTA(A338:C338)&lt;3,"⚠未入力",IF(OR(A338&lt;設定!$C$8,A338&gt;設定!$C$9),"⚠期間外",IF(COUNTIF(設定!$B$15:$B$29,B338)=0,"⚠項目不明",""))))</f>
        <v/>
      </c>
    </row>
    <row r="339" customFormat="false" ht="15" hidden="false" customHeight="false" outlineLevel="0" collapsed="false">
      <c r="A339" s="30"/>
      <c r="B339" s="31"/>
      <c r="C339" s="32"/>
      <c r="D339" s="31"/>
      <c r="E339" s="33" t="str">
        <f aca="false">IF(COUNTA(A339:D339)=0,"",IF(COUNTA(A339:C339)&lt;3,"⚠未入力",IF(OR(A339&lt;設定!$C$8,A339&gt;設定!$C$9),"⚠期間外",IF(COUNTIF(設定!$B$15:$B$29,B339)=0,"⚠項目不明",""))))</f>
        <v/>
      </c>
    </row>
    <row r="340" customFormat="false" ht="15" hidden="false" customHeight="false" outlineLevel="0" collapsed="false">
      <c r="A340" s="30"/>
      <c r="B340" s="31"/>
      <c r="C340" s="32"/>
      <c r="D340" s="31"/>
      <c r="E340" s="33" t="str">
        <f aca="false">IF(COUNTA(A340:D340)=0,"",IF(COUNTA(A340:C340)&lt;3,"⚠未入力",IF(OR(A340&lt;設定!$C$8,A340&gt;設定!$C$9),"⚠期間外",IF(COUNTIF(設定!$B$15:$B$29,B340)=0,"⚠項目不明",""))))</f>
        <v/>
      </c>
    </row>
    <row r="341" customFormat="false" ht="15" hidden="false" customHeight="false" outlineLevel="0" collapsed="false">
      <c r="A341" s="30"/>
      <c r="B341" s="31"/>
      <c r="C341" s="32"/>
      <c r="D341" s="31"/>
      <c r="E341" s="33" t="str">
        <f aca="false">IF(COUNTA(A341:D341)=0,"",IF(COUNTA(A341:C341)&lt;3,"⚠未入力",IF(OR(A341&lt;設定!$C$8,A341&gt;設定!$C$9),"⚠期間外",IF(COUNTIF(設定!$B$15:$B$29,B341)=0,"⚠項目不明",""))))</f>
        <v/>
      </c>
    </row>
    <row r="342" customFormat="false" ht="15" hidden="false" customHeight="false" outlineLevel="0" collapsed="false">
      <c r="A342" s="30"/>
      <c r="B342" s="31"/>
      <c r="C342" s="32"/>
      <c r="D342" s="31"/>
      <c r="E342" s="33" t="str">
        <f aca="false">IF(COUNTA(A342:D342)=0,"",IF(COUNTA(A342:C342)&lt;3,"⚠未入力",IF(OR(A342&lt;設定!$C$8,A342&gt;設定!$C$9),"⚠期間外",IF(COUNTIF(設定!$B$15:$B$29,B342)=0,"⚠項目不明",""))))</f>
        <v/>
      </c>
    </row>
    <row r="343" customFormat="false" ht="15" hidden="false" customHeight="false" outlineLevel="0" collapsed="false">
      <c r="A343" s="30"/>
      <c r="B343" s="31"/>
      <c r="C343" s="32"/>
      <c r="D343" s="31"/>
      <c r="E343" s="33" t="str">
        <f aca="false">IF(COUNTA(A343:D343)=0,"",IF(COUNTA(A343:C343)&lt;3,"⚠未入力",IF(OR(A343&lt;設定!$C$8,A343&gt;設定!$C$9),"⚠期間外",IF(COUNTIF(設定!$B$15:$B$29,B343)=0,"⚠項目不明",""))))</f>
        <v/>
      </c>
    </row>
    <row r="344" customFormat="false" ht="15" hidden="false" customHeight="false" outlineLevel="0" collapsed="false">
      <c r="A344" s="30"/>
      <c r="B344" s="31"/>
      <c r="C344" s="32"/>
      <c r="D344" s="31"/>
      <c r="E344" s="33" t="str">
        <f aca="false">IF(COUNTA(A344:D344)=0,"",IF(COUNTA(A344:C344)&lt;3,"⚠未入力",IF(OR(A344&lt;設定!$C$8,A344&gt;設定!$C$9),"⚠期間外",IF(COUNTIF(設定!$B$15:$B$29,B344)=0,"⚠項目不明",""))))</f>
        <v/>
      </c>
    </row>
    <row r="345" customFormat="false" ht="15" hidden="false" customHeight="false" outlineLevel="0" collapsed="false">
      <c r="A345" s="30"/>
      <c r="B345" s="31"/>
      <c r="C345" s="32"/>
      <c r="D345" s="31"/>
      <c r="E345" s="33" t="str">
        <f aca="false">IF(COUNTA(A345:D345)=0,"",IF(COUNTA(A345:C345)&lt;3,"⚠未入力",IF(OR(A345&lt;設定!$C$8,A345&gt;設定!$C$9),"⚠期間外",IF(COUNTIF(設定!$B$15:$B$29,B345)=0,"⚠項目不明",""))))</f>
        <v/>
      </c>
    </row>
    <row r="346" customFormat="false" ht="15" hidden="false" customHeight="false" outlineLevel="0" collapsed="false">
      <c r="A346" s="30"/>
      <c r="B346" s="31"/>
      <c r="C346" s="32"/>
      <c r="D346" s="31"/>
      <c r="E346" s="33" t="str">
        <f aca="false">IF(COUNTA(A346:D346)=0,"",IF(COUNTA(A346:C346)&lt;3,"⚠未入力",IF(OR(A346&lt;設定!$C$8,A346&gt;設定!$C$9),"⚠期間外",IF(COUNTIF(設定!$B$15:$B$29,B346)=0,"⚠項目不明",""))))</f>
        <v/>
      </c>
    </row>
    <row r="347" customFormat="false" ht="15" hidden="false" customHeight="false" outlineLevel="0" collapsed="false">
      <c r="A347" s="30"/>
      <c r="B347" s="31"/>
      <c r="C347" s="32"/>
      <c r="D347" s="31"/>
      <c r="E347" s="33" t="str">
        <f aca="false">IF(COUNTA(A347:D347)=0,"",IF(COUNTA(A347:C347)&lt;3,"⚠未入力",IF(OR(A347&lt;設定!$C$8,A347&gt;設定!$C$9),"⚠期間外",IF(COUNTIF(設定!$B$15:$B$29,B347)=0,"⚠項目不明",""))))</f>
        <v/>
      </c>
    </row>
    <row r="348" customFormat="false" ht="15" hidden="false" customHeight="false" outlineLevel="0" collapsed="false">
      <c r="A348" s="30"/>
      <c r="B348" s="31"/>
      <c r="C348" s="32"/>
      <c r="D348" s="31"/>
      <c r="E348" s="33" t="str">
        <f aca="false">IF(COUNTA(A348:D348)=0,"",IF(COUNTA(A348:C348)&lt;3,"⚠未入力",IF(OR(A348&lt;設定!$C$8,A348&gt;設定!$C$9),"⚠期間外",IF(COUNTIF(設定!$B$15:$B$29,B348)=0,"⚠項目不明",""))))</f>
        <v/>
      </c>
    </row>
    <row r="349" customFormat="false" ht="15" hidden="false" customHeight="false" outlineLevel="0" collapsed="false">
      <c r="A349" s="30"/>
      <c r="B349" s="31"/>
      <c r="C349" s="32"/>
      <c r="D349" s="31"/>
      <c r="E349" s="33" t="str">
        <f aca="false">IF(COUNTA(A349:D349)=0,"",IF(COUNTA(A349:C349)&lt;3,"⚠未入力",IF(OR(A349&lt;設定!$C$8,A349&gt;設定!$C$9),"⚠期間外",IF(COUNTIF(設定!$B$15:$B$29,B349)=0,"⚠項目不明",""))))</f>
        <v/>
      </c>
    </row>
    <row r="350" customFormat="false" ht="15" hidden="false" customHeight="false" outlineLevel="0" collapsed="false">
      <c r="A350" s="30"/>
      <c r="B350" s="31"/>
      <c r="C350" s="32"/>
      <c r="D350" s="31"/>
      <c r="E350" s="33" t="str">
        <f aca="false">IF(COUNTA(A350:D350)=0,"",IF(COUNTA(A350:C350)&lt;3,"⚠未入力",IF(OR(A350&lt;設定!$C$8,A350&gt;設定!$C$9),"⚠期間外",IF(COUNTIF(設定!$B$15:$B$29,B350)=0,"⚠項目不明",""))))</f>
        <v/>
      </c>
    </row>
    <row r="351" customFormat="false" ht="15" hidden="false" customHeight="false" outlineLevel="0" collapsed="false">
      <c r="A351" s="30"/>
      <c r="B351" s="31"/>
      <c r="C351" s="32"/>
      <c r="D351" s="31"/>
      <c r="E351" s="33" t="str">
        <f aca="false">IF(COUNTA(A351:D351)=0,"",IF(COUNTA(A351:C351)&lt;3,"⚠未入力",IF(OR(A351&lt;設定!$C$8,A351&gt;設定!$C$9),"⚠期間外",IF(COUNTIF(設定!$B$15:$B$29,B351)=0,"⚠項目不明",""))))</f>
        <v/>
      </c>
    </row>
    <row r="352" customFormat="false" ht="15" hidden="false" customHeight="false" outlineLevel="0" collapsed="false">
      <c r="A352" s="30"/>
      <c r="B352" s="31"/>
      <c r="C352" s="32"/>
      <c r="D352" s="31"/>
      <c r="E352" s="33" t="str">
        <f aca="false">IF(COUNTA(A352:D352)=0,"",IF(COUNTA(A352:C352)&lt;3,"⚠未入力",IF(OR(A352&lt;設定!$C$8,A352&gt;設定!$C$9),"⚠期間外",IF(COUNTIF(設定!$B$15:$B$29,B352)=0,"⚠項目不明",""))))</f>
        <v/>
      </c>
    </row>
    <row r="353" customFormat="false" ht="15" hidden="false" customHeight="false" outlineLevel="0" collapsed="false">
      <c r="A353" s="30"/>
      <c r="B353" s="31"/>
      <c r="C353" s="32"/>
      <c r="D353" s="31"/>
      <c r="E353" s="33" t="str">
        <f aca="false">IF(COUNTA(A353:D353)=0,"",IF(COUNTA(A353:C353)&lt;3,"⚠未入力",IF(OR(A353&lt;設定!$C$8,A353&gt;設定!$C$9),"⚠期間外",IF(COUNTIF(設定!$B$15:$B$29,B353)=0,"⚠項目不明",""))))</f>
        <v/>
      </c>
    </row>
    <row r="354" customFormat="false" ht="15" hidden="false" customHeight="false" outlineLevel="0" collapsed="false">
      <c r="A354" s="30"/>
      <c r="B354" s="31"/>
      <c r="C354" s="32"/>
      <c r="D354" s="31"/>
      <c r="E354" s="33" t="str">
        <f aca="false">IF(COUNTA(A354:D354)=0,"",IF(COUNTA(A354:C354)&lt;3,"⚠未入力",IF(OR(A354&lt;設定!$C$8,A354&gt;設定!$C$9),"⚠期間外",IF(COUNTIF(設定!$B$15:$B$29,B354)=0,"⚠項目不明",""))))</f>
        <v/>
      </c>
    </row>
    <row r="355" customFormat="false" ht="15" hidden="false" customHeight="false" outlineLevel="0" collapsed="false">
      <c r="A355" s="30"/>
      <c r="B355" s="31"/>
      <c r="C355" s="32"/>
      <c r="D355" s="31"/>
      <c r="E355" s="33" t="str">
        <f aca="false">IF(COUNTA(A355:D355)=0,"",IF(COUNTA(A355:C355)&lt;3,"⚠未入力",IF(OR(A355&lt;設定!$C$8,A355&gt;設定!$C$9),"⚠期間外",IF(COUNTIF(設定!$B$15:$B$29,B355)=0,"⚠項目不明",""))))</f>
        <v/>
      </c>
    </row>
    <row r="356" customFormat="false" ht="15" hidden="false" customHeight="false" outlineLevel="0" collapsed="false">
      <c r="A356" s="30"/>
      <c r="B356" s="31"/>
      <c r="C356" s="32"/>
      <c r="D356" s="31"/>
      <c r="E356" s="33" t="str">
        <f aca="false">IF(COUNTA(A356:D356)=0,"",IF(COUNTA(A356:C356)&lt;3,"⚠未入力",IF(OR(A356&lt;設定!$C$8,A356&gt;設定!$C$9),"⚠期間外",IF(COUNTIF(設定!$B$15:$B$29,B356)=0,"⚠項目不明",""))))</f>
        <v/>
      </c>
    </row>
    <row r="357" customFormat="false" ht="15" hidden="false" customHeight="false" outlineLevel="0" collapsed="false">
      <c r="A357" s="30"/>
      <c r="B357" s="31"/>
      <c r="C357" s="32"/>
      <c r="D357" s="31"/>
      <c r="E357" s="33" t="str">
        <f aca="false">IF(COUNTA(A357:D357)=0,"",IF(COUNTA(A357:C357)&lt;3,"⚠未入力",IF(OR(A357&lt;設定!$C$8,A357&gt;設定!$C$9),"⚠期間外",IF(COUNTIF(設定!$B$15:$B$29,B357)=0,"⚠項目不明",""))))</f>
        <v/>
      </c>
    </row>
    <row r="358" customFormat="false" ht="15" hidden="false" customHeight="false" outlineLevel="0" collapsed="false">
      <c r="A358" s="30"/>
      <c r="B358" s="31"/>
      <c r="C358" s="32"/>
      <c r="D358" s="31"/>
      <c r="E358" s="33" t="str">
        <f aca="false">IF(COUNTA(A358:D358)=0,"",IF(COUNTA(A358:C358)&lt;3,"⚠未入力",IF(OR(A358&lt;設定!$C$8,A358&gt;設定!$C$9),"⚠期間外",IF(COUNTIF(設定!$B$15:$B$29,B358)=0,"⚠項目不明",""))))</f>
        <v/>
      </c>
    </row>
    <row r="359" customFormat="false" ht="15" hidden="false" customHeight="false" outlineLevel="0" collapsed="false">
      <c r="A359" s="30"/>
      <c r="B359" s="31"/>
      <c r="C359" s="32"/>
      <c r="D359" s="31"/>
      <c r="E359" s="33" t="str">
        <f aca="false">IF(COUNTA(A359:D359)=0,"",IF(COUNTA(A359:C359)&lt;3,"⚠未入力",IF(OR(A359&lt;設定!$C$8,A359&gt;設定!$C$9),"⚠期間外",IF(COUNTIF(設定!$B$15:$B$29,B359)=0,"⚠項目不明",""))))</f>
        <v/>
      </c>
    </row>
    <row r="360" customFormat="false" ht="15" hidden="false" customHeight="false" outlineLevel="0" collapsed="false">
      <c r="A360" s="30"/>
      <c r="B360" s="31"/>
      <c r="C360" s="32"/>
      <c r="D360" s="31"/>
      <c r="E360" s="33" t="str">
        <f aca="false">IF(COUNTA(A360:D360)=0,"",IF(COUNTA(A360:C360)&lt;3,"⚠未入力",IF(OR(A360&lt;設定!$C$8,A360&gt;設定!$C$9),"⚠期間外",IF(COUNTIF(設定!$B$15:$B$29,B360)=0,"⚠項目不明",""))))</f>
        <v/>
      </c>
    </row>
    <row r="361" customFormat="false" ht="15" hidden="false" customHeight="false" outlineLevel="0" collapsed="false">
      <c r="A361" s="30"/>
      <c r="B361" s="31"/>
      <c r="C361" s="32"/>
      <c r="D361" s="31"/>
      <c r="E361" s="33" t="str">
        <f aca="false">IF(COUNTA(A361:D361)=0,"",IF(COUNTA(A361:C361)&lt;3,"⚠未入力",IF(OR(A361&lt;設定!$C$8,A361&gt;設定!$C$9),"⚠期間外",IF(COUNTIF(設定!$B$15:$B$29,B361)=0,"⚠項目不明",""))))</f>
        <v/>
      </c>
    </row>
    <row r="362" customFormat="false" ht="15" hidden="false" customHeight="false" outlineLevel="0" collapsed="false">
      <c r="A362" s="30"/>
      <c r="B362" s="31"/>
      <c r="C362" s="32"/>
      <c r="D362" s="31"/>
      <c r="E362" s="33" t="str">
        <f aca="false">IF(COUNTA(A362:D362)=0,"",IF(COUNTA(A362:C362)&lt;3,"⚠未入力",IF(OR(A362&lt;設定!$C$8,A362&gt;設定!$C$9),"⚠期間外",IF(COUNTIF(設定!$B$15:$B$29,B362)=0,"⚠項目不明",""))))</f>
        <v/>
      </c>
    </row>
    <row r="363" customFormat="false" ht="15" hidden="false" customHeight="false" outlineLevel="0" collapsed="false">
      <c r="A363" s="30"/>
      <c r="B363" s="31"/>
      <c r="C363" s="32"/>
      <c r="D363" s="31"/>
      <c r="E363" s="33" t="str">
        <f aca="false">IF(COUNTA(A363:D363)=0,"",IF(COUNTA(A363:C363)&lt;3,"⚠未入力",IF(OR(A363&lt;設定!$C$8,A363&gt;設定!$C$9),"⚠期間外",IF(COUNTIF(設定!$B$15:$B$29,B363)=0,"⚠項目不明",""))))</f>
        <v/>
      </c>
    </row>
    <row r="364" customFormat="false" ht="15" hidden="false" customHeight="false" outlineLevel="0" collapsed="false">
      <c r="A364" s="30"/>
      <c r="B364" s="31"/>
      <c r="C364" s="32"/>
      <c r="D364" s="31"/>
      <c r="E364" s="33" t="str">
        <f aca="false">IF(COUNTA(A364:D364)=0,"",IF(COUNTA(A364:C364)&lt;3,"⚠未入力",IF(OR(A364&lt;設定!$C$8,A364&gt;設定!$C$9),"⚠期間外",IF(COUNTIF(設定!$B$15:$B$29,B364)=0,"⚠項目不明",""))))</f>
        <v/>
      </c>
    </row>
    <row r="365" customFormat="false" ht="15" hidden="false" customHeight="false" outlineLevel="0" collapsed="false">
      <c r="A365" s="30"/>
      <c r="B365" s="31"/>
      <c r="C365" s="32"/>
      <c r="D365" s="31"/>
      <c r="E365" s="33" t="str">
        <f aca="false">IF(COUNTA(A365:D365)=0,"",IF(COUNTA(A365:C365)&lt;3,"⚠未入力",IF(OR(A365&lt;設定!$C$8,A365&gt;設定!$C$9),"⚠期間外",IF(COUNTIF(設定!$B$15:$B$29,B365)=0,"⚠項目不明",""))))</f>
        <v/>
      </c>
    </row>
    <row r="366" customFormat="false" ht="15" hidden="false" customHeight="false" outlineLevel="0" collapsed="false">
      <c r="A366" s="30"/>
      <c r="B366" s="31"/>
      <c r="C366" s="32"/>
      <c r="D366" s="31"/>
      <c r="E366" s="33" t="str">
        <f aca="false">IF(COUNTA(A366:D366)=0,"",IF(COUNTA(A366:C366)&lt;3,"⚠未入力",IF(OR(A366&lt;設定!$C$8,A366&gt;設定!$C$9),"⚠期間外",IF(COUNTIF(設定!$B$15:$B$29,B366)=0,"⚠項目不明",""))))</f>
        <v/>
      </c>
    </row>
    <row r="367" customFormat="false" ht="15" hidden="false" customHeight="false" outlineLevel="0" collapsed="false">
      <c r="A367" s="30"/>
      <c r="B367" s="31"/>
      <c r="C367" s="32"/>
      <c r="D367" s="31"/>
      <c r="E367" s="33" t="str">
        <f aca="false">IF(COUNTA(A367:D367)=0,"",IF(COUNTA(A367:C367)&lt;3,"⚠未入力",IF(OR(A367&lt;設定!$C$8,A367&gt;設定!$C$9),"⚠期間外",IF(COUNTIF(設定!$B$15:$B$29,B367)=0,"⚠項目不明",""))))</f>
        <v/>
      </c>
    </row>
    <row r="368" customFormat="false" ht="15" hidden="false" customHeight="false" outlineLevel="0" collapsed="false">
      <c r="A368" s="30"/>
      <c r="B368" s="31"/>
      <c r="C368" s="32"/>
      <c r="D368" s="31"/>
      <c r="E368" s="33" t="str">
        <f aca="false">IF(COUNTA(A368:D368)=0,"",IF(COUNTA(A368:C368)&lt;3,"⚠未入力",IF(OR(A368&lt;設定!$C$8,A368&gt;設定!$C$9),"⚠期間外",IF(COUNTIF(設定!$B$15:$B$29,B368)=0,"⚠項目不明",""))))</f>
        <v/>
      </c>
    </row>
    <row r="369" customFormat="false" ht="15" hidden="false" customHeight="false" outlineLevel="0" collapsed="false">
      <c r="A369" s="30"/>
      <c r="B369" s="31"/>
      <c r="C369" s="32"/>
      <c r="D369" s="31"/>
      <c r="E369" s="33" t="str">
        <f aca="false">IF(COUNTA(A369:D369)=0,"",IF(COUNTA(A369:C369)&lt;3,"⚠未入力",IF(OR(A369&lt;設定!$C$8,A369&gt;設定!$C$9),"⚠期間外",IF(COUNTIF(設定!$B$15:$B$29,B369)=0,"⚠項目不明",""))))</f>
        <v/>
      </c>
    </row>
    <row r="370" customFormat="false" ht="15" hidden="false" customHeight="false" outlineLevel="0" collapsed="false">
      <c r="A370" s="30"/>
      <c r="B370" s="31"/>
      <c r="C370" s="32"/>
      <c r="D370" s="31"/>
      <c r="E370" s="33" t="str">
        <f aca="false">IF(COUNTA(A370:D370)=0,"",IF(COUNTA(A370:C370)&lt;3,"⚠未入力",IF(OR(A370&lt;設定!$C$8,A370&gt;設定!$C$9),"⚠期間外",IF(COUNTIF(設定!$B$15:$B$29,B370)=0,"⚠項目不明",""))))</f>
        <v/>
      </c>
    </row>
    <row r="371" customFormat="false" ht="15" hidden="false" customHeight="false" outlineLevel="0" collapsed="false">
      <c r="A371" s="30"/>
      <c r="B371" s="31"/>
      <c r="C371" s="32"/>
      <c r="D371" s="31"/>
      <c r="E371" s="33" t="str">
        <f aca="false">IF(COUNTA(A371:D371)=0,"",IF(COUNTA(A371:C371)&lt;3,"⚠未入力",IF(OR(A371&lt;設定!$C$8,A371&gt;設定!$C$9),"⚠期間外",IF(COUNTIF(設定!$B$15:$B$29,B371)=0,"⚠項目不明",""))))</f>
        <v/>
      </c>
    </row>
    <row r="372" customFormat="false" ht="15" hidden="false" customHeight="false" outlineLevel="0" collapsed="false">
      <c r="A372" s="30"/>
      <c r="B372" s="31"/>
      <c r="C372" s="32"/>
      <c r="D372" s="31"/>
      <c r="E372" s="33" t="str">
        <f aca="false">IF(COUNTA(A372:D372)=0,"",IF(COUNTA(A372:C372)&lt;3,"⚠未入力",IF(OR(A372&lt;設定!$C$8,A372&gt;設定!$C$9),"⚠期間外",IF(COUNTIF(設定!$B$15:$B$29,B372)=0,"⚠項目不明",""))))</f>
        <v/>
      </c>
    </row>
    <row r="373" customFormat="false" ht="15" hidden="false" customHeight="false" outlineLevel="0" collapsed="false">
      <c r="A373" s="30"/>
      <c r="B373" s="31"/>
      <c r="C373" s="32"/>
      <c r="D373" s="31"/>
      <c r="E373" s="33" t="str">
        <f aca="false">IF(COUNTA(A373:D373)=0,"",IF(COUNTA(A373:C373)&lt;3,"⚠未入力",IF(OR(A373&lt;設定!$C$8,A373&gt;設定!$C$9),"⚠期間外",IF(COUNTIF(設定!$B$15:$B$29,B373)=0,"⚠項目不明",""))))</f>
        <v/>
      </c>
    </row>
    <row r="374" customFormat="false" ht="15" hidden="false" customHeight="false" outlineLevel="0" collapsed="false">
      <c r="A374" s="30"/>
      <c r="B374" s="31"/>
      <c r="C374" s="32"/>
      <c r="D374" s="31"/>
      <c r="E374" s="33" t="str">
        <f aca="false">IF(COUNTA(A374:D374)=0,"",IF(COUNTA(A374:C374)&lt;3,"⚠未入力",IF(OR(A374&lt;設定!$C$8,A374&gt;設定!$C$9),"⚠期間外",IF(COUNTIF(設定!$B$15:$B$29,B374)=0,"⚠項目不明",""))))</f>
        <v/>
      </c>
    </row>
    <row r="375" customFormat="false" ht="15" hidden="false" customHeight="false" outlineLevel="0" collapsed="false">
      <c r="A375" s="30"/>
      <c r="B375" s="31"/>
      <c r="C375" s="32"/>
      <c r="D375" s="31"/>
      <c r="E375" s="33" t="str">
        <f aca="false">IF(COUNTA(A375:D375)=0,"",IF(COUNTA(A375:C375)&lt;3,"⚠未入力",IF(OR(A375&lt;設定!$C$8,A375&gt;設定!$C$9),"⚠期間外",IF(COUNTIF(設定!$B$15:$B$29,B375)=0,"⚠項目不明",""))))</f>
        <v/>
      </c>
    </row>
    <row r="376" customFormat="false" ht="15" hidden="false" customHeight="false" outlineLevel="0" collapsed="false">
      <c r="A376" s="30"/>
      <c r="B376" s="31"/>
      <c r="C376" s="32"/>
      <c r="D376" s="31"/>
      <c r="E376" s="33" t="str">
        <f aca="false">IF(COUNTA(A376:D376)=0,"",IF(COUNTA(A376:C376)&lt;3,"⚠未入力",IF(OR(A376&lt;設定!$C$8,A376&gt;設定!$C$9),"⚠期間外",IF(COUNTIF(設定!$B$15:$B$29,B376)=0,"⚠項目不明",""))))</f>
        <v/>
      </c>
    </row>
    <row r="377" customFormat="false" ht="15" hidden="false" customHeight="false" outlineLevel="0" collapsed="false">
      <c r="A377" s="30"/>
      <c r="B377" s="31"/>
      <c r="C377" s="32"/>
      <c r="D377" s="31"/>
      <c r="E377" s="33" t="str">
        <f aca="false">IF(COUNTA(A377:D377)=0,"",IF(COUNTA(A377:C377)&lt;3,"⚠未入力",IF(OR(A377&lt;設定!$C$8,A377&gt;設定!$C$9),"⚠期間外",IF(COUNTIF(設定!$B$15:$B$29,B377)=0,"⚠項目不明",""))))</f>
        <v/>
      </c>
    </row>
    <row r="378" customFormat="false" ht="15" hidden="false" customHeight="false" outlineLevel="0" collapsed="false">
      <c r="A378" s="30"/>
      <c r="B378" s="31"/>
      <c r="C378" s="32"/>
      <c r="D378" s="31"/>
      <c r="E378" s="33" t="str">
        <f aca="false">IF(COUNTA(A378:D378)=0,"",IF(COUNTA(A378:C378)&lt;3,"⚠未入力",IF(OR(A378&lt;設定!$C$8,A378&gt;設定!$C$9),"⚠期間外",IF(COUNTIF(設定!$B$15:$B$29,B378)=0,"⚠項目不明",""))))</f>
        <v/>
      </c>
    </row>
    <row r="379" customFormat="false" ht="15" hidden="false" customHeight="false" outlineLevel="0" collapsed="false">
      <c r="A379" s="30"/>
      <c r="B379" s="31"/>
      <c r="C379" s="32"/>
      <c r="D379" s="31"/>
      <c r="E379" s="33" t="str">
        <f aca="false">IF(COUNTA(A379:D379)=0,"",IF(COUNTA(A379:C379)&lt;3,"⚠未入力",IF(OR(A379&lt;設定!$C$8,A379&gt;設定!$C$9),"⚠期間外",IF(COUNTIF(設定!$B$15:$B$29,B379)=0,"⚠項目不明",""))))</f>
        <v/>
      </c>
    </row>
    <row r="380" customFormat="false" ht="15" hidden="false" customHeight="false" outlineLevel="0" collapsed="false">
      <c r="A380" s="30"/>
      <c r="B380" s="31"/>
      <c r="C380" s="32"/>
      <c r="D380" s="31"/>
      <c r="E380" s="33" t="str">
        <f aca="false">IF(COUNTA(A380:D380)=0,"",IF(COUNTA(A380:C380)&lt;3,"⚠未入力",IF(OR(A380&lt;設定!$C$8,A380&gt;設定!$C$9),"⚠期間外",IF(COUNTIF(設定!$B$15:$B$29,B380)=0,"⚠項目不明",""))))</f>
        <v/>
      </c>
    </row>
    <row r="381" customFormat="false" ht="15" hidden="false" customHeight="false" outlineLevel="0" collapsed="false">
      <c r="A381" s="30"/>
      <c r="B381" s="31"/>
      <c r="C381" s="32"/>
      <c r="D381" s="31"/>
      <c r="E381" s="33" t="str">
        <f aca="false">IF(COUNTA(A381:D381)=0,"",IF(COUNTA(A381:C381)&lt;3,"⚠未入力",IF(OR(A381&lt;設定!$C$8,A381&gt;設定!$C$9),"⚠期間外",IF(COUNTIF(設定!$B$15:$B$29,B381)=0,"⚠項目不明",""))))</f>
        <v/>
      </c>
    </row>
    <row r="382" customFormat="false" ht="15" hidden="false" customHeight="false" outlineLevel="0" collapsed="false">
      <c r="A382" s="30"/>
      <c r="B382" s="31"/>
      <c r="C382" s="32"/>
      <c r="D382" s="31"/>
      <c r="E382" s="33" t="str">
        <f aca="false">IF(COUNTA(A382:D382)=0,"",IF(COUNTA(A382:C382)&lt;3,"⚠未入力",IF(OR(A382&lt;設定!$C$8,A382&gt;設定!$C$9),"⚠期間外",IF(COUNTIF(設定!$B$15:$B$29,B382)=0,"⚠項目不明",""))))</f>
        <v/>
      </c>
    </row>
    <row r="383" customFormat="false" ht="15" hidden="false" customHeight="false" outlineLevel="0" collapsed="false">
      <c r="A383" s="30"/>
      <c r="B383" s="31"/>
      <c r="C383" s="32"/>
      <c r="D383" s="31"/>
      <c r="E383" s="33" t="str">
        <f aca="false">IF(COUNTA(A383:D383)=0,"",IF(COUNTA(A383:C383)&lt;3,"⚠未入力",IF(OR(A383&lt;設定!$C$8,A383&gt;設定!$C$9),"⚠期間外",IF(COUNTIF(設定!$B$15:$B$29,B383)=0,"⚠項目不明",""))))</f>
        <v/>
      </c>
    </row>
    <row r="384" customFormat="false" ht="15" hidden="false" customHeight="false" outlineLevel="0" collapsed="false">
      <c r="A384" s="30"/>
      <c r="B384" s="31"/>
      <c r="C384" s="32"/>
      <c r="D384" s="31"/>
      <c r="E384" s="33" t="str">
        <f aca="false">IF(COUNTA(A384:D384)=0,"",IF(COUNTA(A384:C384)&lt;3,"⚠未入力",IF(OR(A384&lt;設定!$C$8,A384&gt;設定!$C$9),"⚠期間外",IF(COUNTIF(設定!$B$15:$B$29,B384)=0,"⚠項目不明",""))))</f>
        <v/>
      </c>
    </row>
    <row r="385" customFormat="false" ht="15" hidden="false" customHeight="false" outlineLevel="0" collapsed="false">
      <c r="A385" s="30"/>
      <c r="B385" s="31"/>
      <c r="C385" s="32"/>
      <c r="D385" s="31"/>
      <c r="E385" s="33" t="str">
        <f aca="false">IF(COUNTA(A385:D385)=0,"",IF(COUNTA(A385:C385)&lt;3,"⚠未入力",IF(OR(A385&lt;設定!$C$8,A385&gt;設定!$C$9),"⚠期間外",IF(COUNTIF(設定!$B$15:$B$29,B385)=0,"⚠項目不明",""))))</f>
        <v/>
      </c>
    </row>
    <row r="386" customFormat="false" ht="15" hidden="false" customHeight="false" outlineLevel="0" collapsed="false">
      <c r="A386" s="30"/>
      <c r="B386" s="31"/>
      <c r="C386" s="32"/>
      <c r="D386" s="31"/>
      <c r="E386" s="33" t="str">
        <f aca="false">IF(COUNTA(A386:D386)=0,"",IF(COUNTA(A386:C386)&lt;3,"⚠未入力",IF(OR(A386&lt;設定!$C$8,A386&gt;設定!$C$9),"⚠期間外",IF(COUNTIF(設定!$B$15:$B$29,B386)=0,"⚠項目不明",""))))</f>
        <v/>
      </c>
    </row>
    <row r="387" customFormat="false" ht="15" hidden="false" customHeight="false" outlineLevel="0" collapsed="false">
      <c r="A387" s="30"/>
      <c r="B387" s="31"/>
      <c r="C387" s="32"/>
      <c r="D387" s="31"/>
      <c r="E387" s="33" t="str">
        <f aca="false">IF(COUNTA(A387:D387)=0,"",IF(COUNTA(A387:C387)&lt;3,"⚠未入力",IF(OR(A387&lt;設定!$C$8,A387&gt;設定!$C$9),"⚠期間外",IF(COUNTIF(設定!$B$15:$B$29,B387)=0,"⚠項目不明",""))))</f>
        <v/>
      </c>
    </row>
    <row r="388" customFormat="false" ht="15" hidden="false" customHeight="false" outlineLevel="0" collapsed="false">
      <c r="A388" s="30"/>
      <c r="B388" s="31"/>
      <c r="C388" s="32"/>
      <c r="D388" s="31"/>
      <c r="E388" s="33" t="str">
        <f aca="false">IF(COUNTA(A388:D388)=0,"",IF(COUNTA(A388:C388)&lt;3,"⚠未入力",IF(OR(A388&lt;設定!$C$8,A388&gt;設定!$C$9),"⚠期間外",IF(COUNTIF(設定!$B$15:$B$29,B388)=0,"⚠項目不明",""))))</f>
        <v/>
      </c>
    </row>
    <row r="389" customFormat="false" ht="15" hidden="false" customHeight="false" outlineLevel="0" collapsed="false">
      <c r="A389" s="30"/>
      <c r="B389" s="31"/>
      <c r="C389" s="32"/>
      <c r="D389" s="31"/>
      <c r="E389" s="33" t="str">
        <f aca="false">IF(COUNTA(A389:D389)=0,"",IF(COUNTA(A389:C389)&lt;3,"⚠未入力",IF(OR(A389&lt;設定!$C$8,A389&gt;設定!$C$9),"⚠期間外",IF(COUNTIF(設定!$B$15:$B$29,B389)=0,"⚠項目不明",""))))</f>
        <v/>
      </c>
    </row>
    <row r="390" customFormat="false" ht="15" hidden="false" customHeight="false" outlineLevel="0" collapsed="false">
      <c r="A390" s="30"/>
      <c r="B390" s="31"/>
      <c r="C390" s="32"/>
      <c r="D390" s="31"/>
      <c r="E390" s="33" t="str">
        <f aca="false">IF(COUNTA(A390:D390)=0,"",IF(COUNTA(A390:C390)&lt;3,"⚠未入力",IF(OR(A390&lt;設定!$C$8,A390&gt;設定!$C$9),"⚠期間外",IF(COUNTIF(設定!$B$15:$B$29,B390)=0,"⚠項目不明",""))))</f>
        <v/>
      </c>
    </row>
    <row r="391" customFormat="false" ht="15" hidden="false" customHeight="false" outlineLevel="0" collapsed="false">
      <c r="A391" s="30"/>
      <c r="B391" s="31"/>
      <c r="C391" s="32"/>
      <c r="D391" s="31"/>
      <c r="E391" s="33" t="str">
        <f aca="false">IF(COUNTA(A391:D391)=0,"",IF(COUNTA(A391:C391)&lt;3,"⚠未入力",IF(OR(A391&lt;設定!$C$8,A391&gt;設定!$C$9),"⚠期間外",IF(COUNTIF(設定!$B$15:$B$29,B391)=0,"⚠項目不明",""))))</f>
        <v/>
      </c>
    </row>
    <row r="392" customFormat="false" ht="15" hidden="false" customHeight="false" outlineLevel="0" collapsed="false">
      <c r="A392" s="30"/>
      <c r="B392" s="31"/>
      <c r="C392" s="32"/>
      <c r="D392" s="31"/>
      <c r="E392" s="33" t="str">
        <f aca="false">IF(COUNTA(A392:D392)=0,"",IF(COUNTA(A392:C392)&lt;3,"⚠未入力",IF(OR(A392&lt;設定!$C$8,A392&gt;設定!$C$9),"⚠期間外",IF(COUNTIF(設定!$B$15:$B$29,B392)=0,"⚠項目不明",""))))</f>
        <v/>
      </c>
    </row>
    <row r="393" customFormat="false" ht="15" hidden="false" customHeight="false" outlineLevel="0" collapsed="false">
      <c r="A393" s="30"/>
      <c r="B393" s="31"/>
      <c r="C393" s="32"/>
      <c r="D393" s="31"/>
      <c r="E393" s="33" t="str">
        <f aca="false">IF(COUNTA(A393:D393)=0,"",IF(COUNTA(A393:C393)&lt;3,"⚠未入力",IF(OR(A393&lt;設定!$C$8,A393&gt;設定!$C$9),"⚠期間外",IF(COUNTIF(設定!$B$15:$B$29,B393)=0,"⚠項目不明",""))))</f>
        <v/>
      </c>
    </row>
    <row r="394" customFormat="false" ht="15" hidden="false" customHeight="false" outlineLevel="0" collapsed="false">
      <c r="A394" s="30"/>
      <c r="B394" s="31"/>
      <c r="C394" s="32"/>
      <c r="D394" s="31"/>
      <c r="E394" s="33" t="str">
        <f aca="false">IF(COUNTA(A394:D394)=0,"",IF(COUNTA(A394:C394)&lt;3,"⚠未入力",IF(OR(A394&lt;設定!$C$8,A394&gt;設定!$C$9),"⚠期間外",IF(COUNTIF(設定!$B$15:$B$29,B394)=0,"⚠項目不明",""))))</f>
        <v/>
      </c>
    </row>
    <row r="395" customFormat="false" ht="15" hidden="false" customHeight="false" outlineLevel="0" collapsed="false">
      <c r="A395" s="30"/>
      <c r="B395" s="31"/>
      <c r="C395" s="32"/>
      <c r="D395" s="31"/>
      <c r="E395" s="33" t="str">
        <f aca="false">IF(COUNTA(A395:D395)=0,"",IF(COUNTA(A395:C395)&lt;3,"⚠未入力",IF(OR(A395&lt;設定!$C$8,A395&gt;設定!$C$9),"⚠期間外",IF(COUNTIF(設定!$B$15:$B$29,B395)=0,"⚠項目不明",""))))</f>
        <v/>
      </c>
    </row>
    <row r="396" customFormat="false" ht="15" hidden="false" customHeight="false" outlineLevel="0" collapsed="false">
      <c r="A396" s="30"/>
      <c r="B396" s="31"/>
      <c r="C396" s="32"/>
      <c r="D396" s="31"/>
      <c r="E396" s="33" t="str">
        <f aca="false">IF(COUNTA(A396:D396)=0,"",IF(COUNTA(A396:C396)&lt;3,"⚠未入力",IF(OR(A396&lt;設定!$C$8,A396&gt;設定!$C$9),"⚠期間外",IF(COUNTIF(設定!$B$15:$B$29,B396)=0,"⚠項目不明",""))))</f>
        <v/>
      </c>
    </row>
    <row r="397" customFormat="false" ht="15" hidden="false" customHeight="false" outlineLevel="0" collapsed="false">
      <c r="A397" s="30"/>
      <c r="B397" s="31"/>
      <c r="C397" s="32"/>
      <c r="D397" s="31"/>
      <c r="E397" s="33" t="str">
        <f aca="false">IF(COUNTA(A397:D397)=0,"",IF(COUNTA(A397:C397)&lt;3,"⚠未入力",IF(OR(A397&lt;設定!$C$8,A397&gt;設定!$C$9),"⚠期間外",IF(COUNTIF(設定!$B$15:$B$29,B397)=0,"⚠項目不明",""))))</f>
        <v/>
      </c>
    </row>
    <row r="398" customFormat="false" ht="15" hidden="false" customHeight="false" outlineLevel="0" collapsed="false">
      <c r="A398" s="30"/>
      <c r="B398" s="31"/>
      <c r="C398" s="32"/>
      <c r="D398" s="31"/>
      <c r="E398" s="33" t="str">
        <f aca="false">IF(COUNTA(A398:D398)=0,"",IF(COUNTA(A398:C398)&lt;3,"⚠未入力",IF(OR(A398&lt;設定!$C$8,A398&gt;設定!$C$9),"⚠期間外",IF(COUNTIF(設定!$B$15:$B$29,B398)=0,"⚠項目不明",""))))</f>
        <v/>
      </c>
    </row>
    <row r="399" customFormat="false" ht="15" hidden="false" customHeight="false" outlineLevel="0" collapsed="false">
      <c r="A399" s="30"/>
      <c r="B399" s="31"/>
      <c r="C399" s="32"/>
      <c r="D399" s="31"/>
      <c r="E399" s="33" t="str">
        <f aca="false">IF(COUNTA(A399:D399)=0,"",IF(COUNTA(A399:C399)&lt;3,"⚠未入力",IF(OR(A399&lt;設定!$C$8,A399&gt;設定!$C$9),"⚠期間外",IF(COUNTIF(設定!$B$15:$B$29,B399)=0,"⚠項目不明",""))))</f>
        <v/>
      </c>
    </row>
    <row r="400" customFormat="false" ht="15" hidden="false" customHeight="false" outlineLevel="0" collapsed="false">
      <c r="A400" s="30"/>
      <c r="B400" s="31"/>
      <c r="C400" s="32"/>
      <c r="D400" s="31"/>
      <c r="E400" s="33" t="str">
        <f aca="false">IF(COUNTA(A400:D400)=0,"",IF(COUNTA(A400:C400)&lt;3,"⚠未入力",IF(OR(A400&lt;設定!$C$8,A400&gt;設定!$C$9),"⚠期間外",IF(COUNTIF(設定!$B$15:$B$29,B400)=0,"⚠項目不明",""))))</f>
        <v/>
      </c>
    </row>
    <row r="401" customFormat="false" ht="15" hidden="false" customHeight="false" outlineLevel="0" collapsed="false">
      <c r="A401" s="30"/>
      <c r="B401" s="31"/>
      <c r="C401" s="32"/>
      <c r="D401" s="31"/>
      <c r="E401" s="33" t="str">
        <f aca="false">IF(COUNTA(A401:D401)=0,"",IF(COUNTA(A401:C401)&lt;3,"⚠未入力",IF(OR(A401&lt;設定!$C$8,A401&gt;設定!$C$9),"⚠期間外",IF(COUNTIF(設定!$B$15:$B$29,B401)=0,"⚠項目不明",""))))</f>
        <v/>
      </c>
    </row>
    <row r="402" customFormat="false" ht="15" hidden="false" customHeight="false" outlineLevel="0" collapsed="false">
      <c r="A402" s="30"/>
      <c r="B402" s="31"/>
      <c r="C402" s="32"/>
      <c r="D402" s="31"/>
      <c r="E402" s="33" t="str">
        <f aca="false">IF(COUNTA(A402:D402)=0,"",IF(COUNTA(A402:C402)&lt;3,"⚠未入力",IF(OR(A402&lt;設定!$C$8,A402&gt;設定!$C$9),"⚠期間外",IF(COUNTIF(設定!$B$15:$B$29,B402)=0,"⚠項目不明",""))))</f>
        <v/>
      </c>
    </row>
    <row r="403" customFormat="false" ht="15" hidden="false" customHeight="false" outlineLevel="0" collapsed="false">
      <c r="A403" s="30"/>
      <c r="B403" s="31"/>
      <c r="C403" s="32"/>
      <c r="D403" s="31"/>
      <c r="E403" s="33" t="str">
        <f aca="false">IF(COUNTA(A403:D403)=0,"",IF(COUNTA(A403:C403)&lt;3,"⚠未入力",IF(OR(A403&lt;設定!$C$8,A403&gt;設定!$C$9),"⚠期間外",IF(COUNTIF(設定!$B$15:$B$29,B403)=0,"⚠項目不明",""))))</f>
        <v/>
      </c>
    </row>
    <row r="404" customFormat="false" ht="15" hidden="false" customHeight="false" outlineLevel="0" collapsed="false">
      <c r="A404" s="30"/>
      <c r="B404" s="31"/>
      <c r="C404" s="32"/>
      <c r="D404" s="31"/>
      <c r="E404" s="33" t="str">
        <f aca="false">IF(COUNTA(A404:D404)=0,"",IF(COUNTA(A404:C404)&lt;3,"⚠未入力",IF(OR(A404&lt;設定!$C$8,A404&gt;設定!$C$9),"⚠期間外",IF(COUNTIF(設定!$B$15:$B$29,B404)=0,"⚠項目不明",""))))</f>
        <v/>
      </c>
    </row>
    <row r="405" customFormat="false" ht="15" hidden="false" customHeight="false" outlineLevel="0" collapsed="false">
      <c r="A405" s="30"/>
      <c r="B405" s="31"/>
      <c r="C405" s="32"/>
      <c r="D405" s="31"/>
      <c r="E405" s="33" t="str">
        <f aca="false">IF(COUNTA(A405:D405)=0,"",IF(COUNTA(A405:C405)&lt;3,"⚠未入力",IF(OR(A405&lt;設定!$C$8,A405&gt;設定!$C$9),"⚠期間外",IF(COUNTIF(設定!$B$15:$B$29,B405)=0,"⚠項目不明",""))))</f>
        <v/>
      </c>
    </row>
    <row r="406" customFormat="false" ht="15" hidden="false" customHeight="false" outlineLevel="0" collapsed="false">
      <c r="A406" s="30"/>
      <c r="B406" s="31"/>
      <c r="C406" s="32"/>
      <c r="D406" s="31"/>
      <c r="E406" s="33" t="str">
        <f aca="false">IF(COUNTA(A406:D406)=0,"",IF(COUNTA(A406:C406)&lt;3,"⚠未入力",IF(OR(A406&lt;設定!$C$8,A406&gt;設定!$C$9),"⚠期間外",IF(COUNTIF(設定!$B$15:$B$29,B406)=0,"⚠項目不明",""))))</f>
        <v/>
      </c>
    </row>
    <row r="407" customFormat="false" ht="15" hidden="false" customHeight="false" outlineLevel="0" collapsed="false">
      <c r="A407" s="30"/>
      <c r="B407" s="31"/>
      <c r="C407" s="32"/>
      <c r="D407" s="31"/>
      <c r="E407" s="33" t="str">
        <f aca="false">IF(COUNTA(A407:D407)=0,"",IF(COUNTA(A407:C407)&lt;3,"⚠未入力",IF(OR(A407&lt;設定!$C$8,A407&gt;設定!$C$9),"⚠期間外",IF(COUNTIF(設定!$B$15:$B$29,B407)=0,"⚠項目不明",""))))</f>
        <v/>
      </c>
    </row>
    <row r="408" customFormat="false" ht="15" hidden="false" customHeight="false" outlineLevel="0" collapsed="false">
      <c r="A408" s="30"/>
      <c r="B408" s="31"/>
      <c r="C408" s="32"/>
      <c r="D408" s="31"/>
      <c r="E408" s="33" t="str">
        <f aca="false">IF(COUNTA(A408:D408)=0,"",IF(COUNTA(A408:C408)&lt;3,"⚠未入力",IF(OR(A408&lt;設定!$C$8,A408&gt;設定!$C$9),"⚠期間外",IF(COUNTIF(設定!$B$15:$B$29,B408)=0,"⚠項目不明",""))))</f>
        <v/>
      </c>
    </row>
    <row r="409" customFormat="false" ht="15" hidden="false" customHeight="false" outlineLevel="0" collapsed="false">
      <c r="A409" s="30"/>
      <c r="B409" s="31"/>
      <c r="C409" s="32"/>
      <c r="D409" s="31"/>
      <c r="E409" s="33" t="str">
        <f aca="false">IF(COUNTA(A409:D409)=0,"",IF(COUNTA(A409:C409)&lt;3,"⚠未入力",IF(OR(A409&lt;設定!$C$8,A409&gt;設定!$C$9),"⚠期間外",IF(COUNTIF(設定!$B$15:$B$29,B409)=0,"⚠項目不明",""))))</f>
        <v/>
      </c>
    </row>
    <row r="410" customFormat="false" ht="15" hidden="false" customHeight="false" outlineLevel="0" collapsed="false">
      <c r="A410" s="30"/>
      <c r="B410" s="31"/>
      <c r="C410" s="32"/>
      <c r="D410" s="31"/>
      <c r="E410" s="33" t="str">
        <f aca="false">IF(COUNTA(A410:D410)=0,"",IF(COUNTA(A410:C410)&lt;3,"⚠未入力",IF(OR(A410&lt;設定!$C$8,A410&gt;設定!$C$9),"⚠期間外",IF(COUNTIF(設定!$B$15:$B$29,B410)=0,"⚠項目不明",""))))</f>
        <v/>
      </c>
    </row>
    <row r="411" customFormat="false" ht="15" hidden="false" customHeight="false" outlineLevel="0" collapsed="false">
      <c r="A411" s="30"/>
      <c r="B411" s="31"/>
      <c r="C411" s="32"/>
      <c r="D411" s="31"/>
      <c r="E411" s="33" t="str">
        <f aca="false">IF(COUNTA(A411:D411)=0,"",IF(COUNTA(A411:C411)&lt;3,"⚠未入力",IF(OR(A411&lt;設定!$C$8,A411&gt;設定!$C$9),"⚠期間外",IF(COUNTIF(設定!$B$15:$B$29,B411)=0,"⚠項目不明",""))))</f>
        <v/>
      </c>
    </row>
    <row r="412" customFormat="false" ht="15" hidden="false" customHeight="false" outlineLevel="0" collapsed="false">
      <c r="A412" s="30"/>
      <c r="B412" s="31"/>
      <c r="C412" s="32"/>
      <c r="D412" s="31"/>
      <c r="E412" s="33" t="str">
        <f aca="false">IF(COUNTA(A412:D412)=0,"",IF(COUNTA(A412:C412)&lt;3,"⚠未入力",IF(OR(A412&lt;設定!$C$8,A412&gt;設定!$C$9),"⚠期間外",IF(COUNTIF(設定!$B$15:$B$29,B412)=0,"⚠項目不明",""))))</f>
        <v/>
      </c>
    </row>
    <row r="413" customFormat="false" ht="15" hidden="false" customHeight="false" outlineLevel="0" collapsed="false">
      <c r="A413" s="30"/>
      <c r="B413" s="31"/>
      <c r="C413" s="32"/>
      <c r="D413" s="31"/>
      <c r="E413" s="33" t="str">
        <f aca="false">IF(COUNTA(A413:D413)=0,"",IF(COUNTA(A413:C413)&lt;3,"⚠未入力",IF(OR(A413&lt;設定!$C$8,A413&gt;設定!$C$9),"⚠期間外",IF(COUNTIF(設定!$B$15:$B$29,B413)=0,"⚠項目不明",""))))</f>
        <v/>
      </c>
    </row>
    <row r="414" customFormat="false" ht="15" hidden="false" customHeight="false" outlineLevel="0" collapsed="false">
      <c r="A414" s="30"/>
      <c r="B414" s="31"/>
      <c r="C414" s="32"/>
      <c r="D414" s="31"/>
      <c r="E414" s="33" t="str">
        <f aca="false">IF(COUNTA(A414:D414)=0,"",IF(COUNTA(A414:C414)&lt;3,"⚠未入力",IF(OR(A414&lt;設定!$C$8,A414&gt;設定!$C$9),"⚠期間外",IF(COUNTIF(設定!$B$15:$B$29,B414)=0,"⚠項目不明",""))))</f>
        <v/>
      </c>
    </row>
    <row r="415" customFormat="false" ht="15" hidden="false" customHeight="false" outlineLevel="0" collapsed="false">
      <c r="A415" s="30"/>
      <c r="B415" s="31"/>
      <c r="C415" s="32"/>
      <c r="D415" s="31"/>
      <c r="E415" s="33" t="str">
        <f aca="false">IF(COUNTA(A415:D415)=0,"",IF(COUNTA(A415:C415)&lt;3,"⚠未入力",IF(OR(A415&lt;設定!$C$8,A415&gt;設定!$C$9),"⚠期間外",IF(COUNTIF(設定!$B$15:$B$29,B415)=0,"⚠項目不明",""))))</f>
        <v/>
      </c>
    </row>
    <row r="416" customFormat="false" ht="15" hidden="false" customHeight="false" outlineLevel="0" collapsed="false">
      <c r="A416" s="30"/>
      <c r="B416" s="31"/>
      <c r="C416" s="32"/>
      <c r="D416" s="31"/>
      <c r="E416" s="33" t="str">
        <f aca="false">IF(COUNTA(A416:D416)=0,"",IF(COUNTA(A416:C416)&lt;3,"⚠未入力",IF(OR(A416&lt;設定!$C$8,A416&gt;設定!$C$9),"⚠期間外",IF(COUNTIF(設定!$B$15:$B$29,B416)=0,"⚠項目不明",""))))</f>
        <v/>
      </c>
    </row>
    <row r="417" customFormat="false" ht="15" hidden="false" customHeight="false" outlineLevel="0" collapsed="false">
      <c r="A417" s="30"/>
      <c r="B417" s="31"/>
      <c r="C417" s="32"/>
      <c r="D417" s="31"/>
      <c r="E417" s="33" t="str">
        <f aca="false">IF(COUNTA(A417:D417)=0,"",IF(COUNTA(A417:C417)&lt;3,"⚠未入力",IF(OR(A417&lt;設定!$C$8,A417&gt;設定!$C$9),"⚠期間外",IF(COUNTIF(設定!$B$15:$B$29,B417)=0,"⚠項目不明",""))))</f>
        <v/>
      </c>
    </row>
    <row r="418" customFormat="false" ht="15" hidden="false" customHeight="false" outlineLevel="0" collapsed="false">
      <c r="A418" s="30"/>
      <c r="B418" s="31"/>
      <c r="C418" s="32"/>
      <c r="D418" s="31"/>
      <c r="E418" s="33" t="str">
        <f aca="false">IF(COUNTA(A418:D418)=0,"",IF(COUNTA(A418:C418)&lt;3,"⚠未入力",IF(OR(A418&lt;設定!$C$8,A418&gt;設定!$C$9),"⚠期間外",IF(COUNTIF(設定!$B$15:$B$29,B418)=0,"⚠項目不明",""))))</f>
        <v/>
      </c>
    </row>
    <row r="419" customFormat="false" ht="15" hidden="false" customHeight="false" outlineLevel="0" collapsed="false">
      <c r="A419" s="30"/>
      <c r="B419" s="31"/>
      <c r="C419" s="32"/>
      <c r="D419" s="31"/>
      <c r="E419" s="33" t="str">
        <f aca="false">IF(COUNTA(A419:D419)=0,"",IF(COUNTA(A419:C419)&lt;3,"⚠未入力",IF(OR(A419&lt;設定!$C$8,A419&gt;設定!$C$9),"⚠期間外",IF(COUNTIF(設定!$B$15:$B$29,B419)=0,"⚠項目不明",""))))</f>
        <v/>
      </c>
    </row>
    <row r="420" customFormat="false" ht="15" hidden="false" customHeight="false" outlineLevel="0" collapsed="false">
      <c r="A420" s="30"/>
      <c r="B420" s="31"/>
      <c r="C420" s="32"/>
      <c r="D420" s="31"/>
      <c r="E420" s="33" t="str">
        <f aca="false">IF(COUNTA(A420:D420)=0,"",IF(COUNTA(A420:C420)&lt;3,"⚠未入力",IF(OR(A420&lt;設定!$C$8,A420&gt;設定!$C$9),"⚠期間外",IF(COUNTIF(設定!$B$15:$B$29,B420)=0,"⚠項目不明",""))))</f>
        <v/>
      </c>
    </row>
    <row r="421" customFormat="false" ht="15" hidden="false" customHeight="false" outlineLevel="0" collapsed="false">
      <c r="A421" s="30"/>
      <c r="B421" s="31"/>
      <c r="C421" s="32"/>
      <c r="D421" s="31"/>
      <c r="E421" s="33" t="str">
        <f aca="false">IF(COUNTA(A421:D421)=0,"",IF(COUNTA(A421:C421)&lt;3,"⚠未入力",IF(OR(A421&lt;設定!$C$8,A421&gt;設定!$C$9),"⚠期間外",IF(COUNTIF(設定!$B$15:$B$29,B421)=0,"⚠項目不明",""))))</f>
        <v/>
      </c>
    </row>
    <row r="422" customFormat="false" ht="15" hidden="false" customHeight="false" outlineLevel="0" collapsed="false">
      <c r="A422" s="30"/>
      <c r="B422" s="31"/>
      <c r="C422" s="32"/>
      <c r="D422" s="31"/>
      <c r="E422" s="33" t="str">
        <f aca="false">IF(COUNTA(A422:D422)=0,"",IF(COUNTA(A422:C422)&lt;3,"⚠未入力",IF(OR(A422&lt;設定!$C$8,A422&gt;設定!$C$9),"⚠期間外",IF(COUNTIF(設定!$B$15:$B$29,B422)=0,"⚠項目不明",""))))</f>
        <v/>
      </c>
    </row>
    <row r="423" customFormat="false" ht="15" hidden="false" customHeight="false" outlineLevel="0" collapsed="false">
      <c r="A423" s="30"/>
      <c r="B423" s="31"/>
      <c r="C423" s="32"/>
      <c r="D423" s="31"/>
      <c r="E423" s="33" t="str">
        <f aca="false">IF(COUNTA(A423:D423)=0,"",IF(COUNTA(A423:C423)&lt;3,"⚠未入力",IF(OR(A423&lt;設定!$C$8,A423&gt;設定!$C$9),"⚠期間外",IF(COUNTIF(設定!$B$15:$B$29,B423)=0,"⚠項目不明",""))))</f>
        <v/>
      </c>
    </row>
    <row r="424" customFormat="false" ht="15" hidden="false" customHeight="false" outlineLevel="0" collapsed="false">
      <c r="A424" s="30"/>
      <c r="B424" s="31"/>
      <c r="C424" s="32"/>
      <c r="D424" s="31"/>
      <c r="E424" s="33" t="str">
        <f aca="false">IF(COUNTA(A424:D424)=0,"",IF(COUNTA(A424:C424)&lt;3,"⚠未入力",IF(OR(A424&lt;設定!$C$8,A424&gt;設定!$C$9),"⚠期間外",IF(COUNTIF(設定!$B$15:$B$29,B424)=0,"⚠項目不明",""))))</f>
        <v/>
      </c>
    </row>
    <row r="425" customFormat="false" ht="15" hidden="false" customHeight="false" outlineLevel="0" collapsed="false">
      <c r="A425" s="30"/>
      <c r="B425" s="31"/>
      <c r="C425" s="32"/>
      <c r="D425" s="31"/>
      <c r="E425" s="33" t="str">
        <f aca="false">IF(COUNTA(A425:D425)=0,"",IF(COUNTA(A425:C425)&lt;3,"⚠未入力",IF(OR(A425&lt;設定!$C$8,A425&gt;設定!$C$9),"⚠期間外",IF(COUNTIF(設定!$B$15:$B$29,B425)=0,"⚠項目不明",""))))</f>
        <v/>
      </c>
    </row>
    <row r="426" customFormat="false" ht="15" hidden="false" customHeight="false" outlineLevel="0" collapsed="false">
      <c r="A426" s="30"/>
      <c r="B426" s="31"/>
      <c r="C426" s="32"/>
      <c r="D426" s="31"/>
      <c r="E426" s="33" t="str">
        <f aca="false">IF(COUNTA(A426:D426)=0,"",IF(COUNTA(A426:C426)&lt;3,"⚠未入力",IF(OR(A426&lt;設定!$C$8,A426&gt;設定!$C$9),"⚠期間外",IF(COUNTIF(設定!$B$15:$B$29,B426)=0,"⚠項目不明",""))))</f>
        <v/>
      </c>
    </row>
    <row r="427" customFormat="false" ht="15" hidden="false" customHeight="false" outlineLevel="0" collapsed="false">
      <c r="A427" s="30"/>
      <c r="B427" s="31"/>
      <c r="C427" s="32"/>
      <c r="D427" s="31"/>
      <c r="E427" s="33" t="str">
        <f aca="false">IF(COUNTA(A427:D427)=0,"",IF(COUNTA(A427:C427)&lt;3,"⚠未入力",IF(OR(A427&lt;設定!$C$8,A427&gt;設定!$C$9),"⚠期間外",IF(COUNTIF(設定!$B$15:$B$29,B427)=0,"⚠項目不明",""))))</f>
        <v/>
      </c>
    </row>
    <row r="428" customFormat="false" ht="15" hidden="false" customHeight="false" outlineLevel="0" collapsed="false">
      <c r="A428" s="30"/>
      <c r="B428" s="31"/>
      <c r="C428" s="32"/>
      <c r="D428" s="31"/>
      <c r="E428" s="33" t="str">
        <f aca="false">IF(COUNTA(A428:D428)=0,"",IF(COUNTA(A428:C428)&lt;3,"⚠未入力",IF(OR(A428&lt;設定!$C$8,A428&gt;設定!$C$9),"⚠期間外",IF(COUNTIF(設定!$B$15:$B$29,B428)=0,"⚠項目不明",""))))</f>
        <v/>
      </c>
    </row>
    <row r="429" customFormat="false" ht="15" hidden="false" customHeight="false" outlineLevel="0" collapsed="false">
      <c r="A429" s="30"/>
      <c r="B429" s="31"/>
      <c r="C429" s="32"/>
      <c r="D429" s="31"/>
      <c r="E429" s="33" t="str">
        <f aca="false">IF(COUNTA(A429:D429)=0,"",IF(COUNTA(A429:C429)&lt;3,"⚠未入力",IF(OR(A429&lt;設定!$C$8,A429&gt;設定!$C$9),"⚠期間外",IF(COUNTIF(設定!$B$15:$B$29,B429)=0,"⚠項目不明",""))))</f>
        <v/>
      </c>
    </row>
    <row r="430" customFormat="false" ht="15" hidden="false" customHeight="false" outlineLevel="0" collapsed="false">
      <c r="A430" s="30"/>
      <c r="B430" s="31"/>
      <c r="C430" s="32"/>
      <c r="D430" s="31"/>
      <c r="E430" s="33" t="str">
        <f aca="false">IF(COUNTA(A430:D430)=0,"",IF(COUNTA(A430:C430)&lt;3,"⚠未入力",IF(OR(A430&lt;設定!$C$8,A430&gt;設定!$C$9),"⚠期間外",IF(COUNTIF(設定!$B$15:$B$29,B430)=0,"⚠項目不明",""))))</f>
        <v/>
      </c>
    </row>
    <row r="431" customFormat="false" ht="15" hidden="false" customHeight="false" outlineLevel="0" collapsed="false">
      <c r="A431" s="30"/>
      <c r="B431" s="31"/>
      <c r="C431" s="32"/>
      <c r="D431" s="31"/>
      <c r="E431" s="33" t="str">
        <f aca="false">IF(COUNTA(A431:D431)=0,"",IF(COUNTA(A431:C431)&lt;3,"⚠未入力",IF(OR(A431&lt;設定!$C$8,A431&gt;設定!$C$9),"⚠期間外",IF(COUNTIF(設定!$B$15:$B$29,B431)=0,"⚠項目不明",""))))</f>
        <v/>
      </c>
    </row>
    <row r="432" customFormat="false" ht="15" hidden="false" customHeight="false" outlineLevel="0" collapsed="false">
      <c r="A432" s="30"/>
      <c r="B432" s="31"/>
      <c r="C432" s="32"/>
      <c r="D432" s="31"/>
      <c r="E432" s="33" t="str">
        <f aca="false">IF(COUNTA(A432:D432)=0,"",IF(COUNTA(A432:C432)&lt;3,"⚠未入力",IF(OR(A432&lt;設定!$C$8,A432&gt;設定!$C$9),"⚠期間外",IF(COUNTIF(設定!$B$15:$B$29,B432)=0,"⚠項目不明",""))))</f>
        <v/>
      </c>
    </row>
    <row r="433" customFormat="false" ht="15" hidden="false" customHeight="false" outlineLevel="0" collapsed="false">
      <c r="A433" s="30"/>
      <c r="B433" s="31"/>
      <c r="C433" s="32"/>
      <c r="D433" s="31"/>
      <c r="E433" s="33" t="str">
        <f aca="false">IF(COUNTA(A433:D433)=0,"",IF(COUNTA(A433:C433)&lt;3,"⚠未入力",IF(OR(A433&lt;設定!$C$8,A433&gt;設定!$C$9),"⚠期間外",IF(COUNTIF(設定!$B$15:$B$29,B433)=0,"⚠項目不明",""))))</f>
        <v/>
      </c>
    </row>
    <row r="434" customFormat="false" ht="15" hidden="false" customHeight="false" outlineLevel="0" collapsed="false">
      <c r="A434" s="30"/>
      <c r="B434" s="31"/>
      <c r="C434" s="32"/>
      <c r="D434" s="31"/>
      <c r="E434" s="33" t="str">
        <f aca="false">IF(COUNTA(A434:D434)=0,"",IF(COUNTA(A434:C434)&lt;3,"⚠未入力",IF(OR(A434&lt;設定!$C$8,A434&gt;設定!$C$9),"⚠期間外",IF(COUNTIF(設定!$B$15:$B$29,B434)=0,"⚠項目不明",""))))</f>
        <v/>
      </c>
    </row>
    <row r="435" customFormat="false" ht="15" hidden="false" customHeight="false" outlineLevel="0" collapsed="false">
      <c r="A435" s="30"/>
      <c r="B435" s="31"/>
      <c r="C435" s="32"/>
      <c r="D435" s="31"/>
      <c r="E435" s="33" t="str">
        <f aca="false">IF(COUNTA(A435:D435)=0,"",IF(COUNTA(A435:C435)&lt;3,"⚠未入力",IF(OR(A435&lt;設定!$C$8,A435&gt;設定!$C$9),"⚠期間外",IF(COUNTIF(設定!$B$15:$B$29,B435)=0,"⚠項目不明",""))))</f>
        <v/>
      </c>
    </row>
    <row r="436" customFormat="false" ht="15" hidden="false" customHeight="false" outlineLevel="0" collapsed="false">
      <c r="A436" s="30"/>
      <c r="B436" s="31"/>
      <c r="C436" s="32"/>
      <c r="D436" s="31"/>
      <c r="E436" s="33" t="str">
        <f aca="false">IF(COUNTA(A436:D436)=0,"",IF(COUNTA(A436:C436)&lt;3,"⚠未入力",IF(OR(A436&lt;設定!$C$8,A436&gt;設定!$C$9),"⚠期間外",IF(COUNTIF(設定!$B$15:$B$29,B436)=0,"⚠項目不明",""))))</f>
        <v/>
      </c>
    </row>
    <row r="437" customFormat="false" ht="15" hidden="false" customHeight="false" outlineLevel="0" collapsed="false">
      <c r="A437" s="30"/>
      <c r="B437" s="31"/>
      <c r="C437" s="32"/>
      <c r="D437" s="31"/>
      <c r="E437" s="33" t="str">
        <f aca="false">IF(COUNTA(A437:D437)=0,"",IF(COUNTA(A437:C437)&lt;3,"⚠未入力",IF(OR(A437&lt;設定!$C$8,A437&gt;設定!$C$9),"⚠期間外",IF(COUNTIF(設定!$B$15:$B$29,B437)=0,"⚠項目不明",""))))</f>
        <v/>
      </c>
    </row>
    <row r="438" customFormat="false" ht="15" hidden="false" customHeight="false" outlineLevel="0" collapsed="false">
      <c r="A438" s="30"/>
      <c r="B438" s="31"/>
      <c r="C438" s="32"/>
      <c r="D438" s="31"/>
      <c r="E438" s="33" t="str">
        <f aca="false">IF(COUNTA(A438:D438)=0,"",IF(COUNTA(A438:C438)&lt;3,"⚠未入力",IF(OR(A438&lt;設定!$C$8,A438&gt;設定!$C$9),"⚠期間外",IF(COUNTIF(設定!$B$15:$B$29,B438)=0,"⚠項目不明",""))))</f>
        <v/>
      </c>
    </row>
    <row r="439" customFormat="false" ht="15" hidden="false" customHeight="false" outlineLevel="0" collapsed="false">
      <c r="A439" s="30"/>
      <c r="B439" s="31"/>
      <c r="C439" s="32"/>
      <c r="D439" s="31"/>
      <c r="E439" s="33" t="str">
        <f aca="false">IF(COUNTA(A439:D439)=0,"",IF(COUNTA(A439:C439)&lt;3,"⚠未入力",IF(OR(A439&lt;設定!$C$8,A439&gt;設定!$C$9),"⚠期間外",IF(COUNTIF(設定!$B$15:$B$29,B439)=0,"⚠項目不明",""))))</f>
        <v/>
      </c>
    </row>
    <row r="440" customFormat="false" ht="15" hidden="false" customHeight="false" outlineLevel="0" collapsed="false">
      <c r="A440" s="30"/>
      <c r="B440" s="31"/>
      <c r="C440" s="32"/>
      <c r="D440" s="31"/>
      <c r="E440" s="33" t="str">
        <f aca="false">IF(COUNTA(A440:D440)=0,"",IF(COUNTA(A440:C440)&lt;3,"⚠未入力",IF(OR(A440&lt;設定!$C$8,A440&gt;設定!$C$9),"⚠期間外",IF(COUNTIF(設定!$B$15:$B$29,B440)=0,"⚠項目不明",""))))</f>
        <v/>
      </c>
    </row>
    <row r="441" customFormat="false" ht="15" hidden="false" customHeight="false" outlineLevel="0" collapsed="false">
      <c r="A441" s="30"/>
      <c r="B441" s="31"/>
      <c r="C441" s="32"/>
      <c r="D441" s="31"/>
      <c r="E441" s="33" t="str">
        <f aca="false">IF(COUNTA(A441:D441)=0,"",IF(COUNTA(A441:C441)&lt;3,"⚠未入力",IF(OR(A441&lt;設定!$C$8,A441&gt;設定!$C$9),"⚠期間外",IF(COUNTIF(設定!$B$15:$B$29,B441)=0,"⚠項目不明",""))))</f>
        <v/>
      </c>
    </row>
    <row r="442" customFormat="false" ht="15" hidden="false" customHeight="false" outlineLevel="0" collapsed="false">
      <c r="A442" s="30"/>
      <c r="B442" s="31"/>
      <c r="C442" s="32"/>
      <c r="D442" s="31"/>
      <c r="E442" s="33" t="str">
        <f aca="false">IF(COUNTA(A442:D442)=0,"",IF(COUNTA(A442:C442)&lt;3,"⚠未入力",IF(OR(A442&lt;設定!$C$8,A442&gt;設定!$C$9),"⚠期間外",IF(COUNTIF(設定!$B$15:$B$29,B442)=0,"⚠項目不明",""))))</f>
        <v/>
      </c>
    </row>
    <row r="443" customFormat="false" ht="15" hidden="false" customHeight="false" outlineLevel="0" collapsed="false">
      <c r="A443" s="30"/>
      <c r="B443" s="31"/>
      <c r="C443" s="32"/>
      <c r="D443" s="31"/>
      <c r="E443" s="33" t="str">
        <f aca="false">IF(COUNTA(A443:D443)=0,"",IF(COUNTA(A443:C443)&lt;3,"⚠未入力",IF(OR(A443&lt;設定!$C$8,A443&gt;設定!$C$9),"⚠期間外",IF(COUNTIF(設定!$B$15:$B$29,B443)=0,"⚠項目不明",""))))</f>
        <v/>
      </c>
    </row>
    <row r="444" customFormat="false" ht="15" hidden="false" customHeight="false" outlineLevel="0" collapsed="false">
      <c r="A444" s="30"/>
      <c r="B444" s="31"/>
      <c r="C444" s="32"/>
      <c r="D444" s="31"/>
      <c r="E444" s="33" t="str">
        <f aca="false">IF(COUNTA(A444:D444)=0,"",IF(COUNTA(A444:C444)&lt;3,"⚠未入力",IF(OR(A444&lt;設定!$C$8,A444&gt;設定!$C$9),"⚠期間外",IF(COUNTIF(設定!$B$15:$B$29,B444)=0,"⚠項目不明",""))))</f>
        <v/>
      </c>
    </row>
    <row r="445" customFormat="false" ht="15" hidden="false" customHeight="false" outlineLevel="0" collapsed="false">
      <c r="A445" s="30"/>
      <c r="B445" s="31"/>
      <c r="C445" s="32"/>
      <c r="D445" s="31"/>
      <c r="E445" s="33" t="str">
        <f aca="false">IF(COUNTA(A445:D445)=0,"",IF(COUNTA(A445:C445)&lt;3,"⚠未入力",IF(OR(A445&lt;設定!$C$8,A445&gt;設定!$C$9),"⚠期間外",IF(COUNTIF(設定!$B$15:$B$29,B445)=0,"⚠項目不明",""))))</f>
        <v/>
      </c>
    </row>
    <row r="446" customFormat="false" ht="15" hidden="false" customHeight="false" outlineLevel="0" collapsed="false">
      <c r="A446" s="30"/>
      <c r="B446" s="31"/>
      <c r="C446" s="32"/>
      <c r="D446" s="31"/>
      <c r="E446" s="33" t="str">
        <f aca="false">IF(COUNTA(A446:D446)=0,"",IF(COUNTA(A446:C446)&lt;3,"⚠未入力",IF(OR(A446&lt;設定!$C$8,A446&gt;設定!$C$9),"⚠期間外",IF(COUNTIF(設定!$B$15:$B$29,B446)=0,"⚠項目不明",""))))</f>
        <v/>
      </c>
    </row>
    <row r="447" customFormat="false" ht="15" hidden="false" customHeight="false" outlineLevel="0" collapsed="false">
      <c r="A447" s="30"/>
      <c r="B447" s="31"/>
      <c r="C447" s="32"/>
      <c r="D447" s="31"/>
      <c r="E447" s="33" t="str">
        <f aca="false">IF(COUNTA(A447:D447)=0,"",IF(COUNTA(A447:C447)&lt;3,"⚠未入力",IF(OR(A447&lt;設定!$C$8,A447&gt;設定!$C$9),"⚠期間外",IF(COUNTIF(設定!$B$15:$B$29,B447)=0,"⚠項目不明",""))))</f>
        <v/>
      </c>
    </row>
    <row r="448" customFormat="false" ht="15" hidden="false" customHeight="false" outlineLevel="0" collapsed="false">
      <c r="A448" s="30"/>
      <c r="B448" s="31"/>
      <c r="C448" s="32"/>
      <c r="D448" s="31"/>
      <c r="E448" s="33" t="str">
        <f aca="false">IF(COUNTA(A448:D448)=0,"",IF(COUNTA(A448:C448)&lt;3,"⚠未入力",IF(OR(A448&lt;設定!$C$8,A448&gt;設定!$C$9),"⚠期間外",IF(COUNTIF(設定!$B$15:$B$29,B448)=0,"⚠項目不明",""))))</f>
        <v/>
      </c>
    </row>
    <row r="449" customFormat="false" ht="15" hidden="false" customHeight="false" outlineLevel="0" collapsed="false">
      <c r="A449" s="30"/>
      <c r="B449" s="31"/>
      <c r="C449" s="32"/>
      <c r="D449" s="31"/>
      <c r="E449" s="33" t="str">
        <f aca="false">IF(COUNTA(A449:D449)=0,"",IF(COUNTA(A449:C449)&lt;3,"⚠未入力",IF(OR(A449&lt;設定!$C$8,A449&gt;設定!$C$9),"⚠期間外",IF(COUNTIF(設定!$B$15:$B$29,B449)=0,"⚠項目不明",""))))</f>
        <v/>
      </c>
    </row>
    <row r="450" customFormat="false" ht="15" hidden="false" customHeight="false" outlineLevel="0" collapsed="false">
      <c r="A450" s="30"/>
      <c r="B450" s="31"/>
      <c r="C450" s="32"/>
      <c r="D450" s="31"/>
      <c r="E450" s="33" t="str">
        <f aca="false">IF(COUNTA(A450:D450)=0,"",IF(COUNTA(A450:C450)&lt;3,"⚠未入力",IF(OR(A450&lt;設定!$C$8,A450&gt;設定!$C$9),"⚠期間外",IF(COUNTIF(設定!$B$15:$B$29,B450)=0,"⚠項目不明",""))))</f>
        <v/>
      </c>
    </row>
    <row r="451" customFormat="false" ht="15" hidden="false" customHeight="false" outlineLevel="0" collapsed="false">
      <c r="A451" s="30"/>
      <c r="B451" s="31"/>
      <c r="C451" s="32"/>
      <c r="D451" s="31"/>
      <c r="E451" s="33" t="str">
        <f aca="false">IF(COUNTA(A451:D451)=0,"",IF(COUNTA(A451:C451)&lt;3,"⚠未入力",IF(OR(A451&lt;設定!$C$8,A451&gt;設定!$C$9),"⚠期間外",IF(COUNTIF(設定!$B$15:$B$29,B451)=0,"⚠項目不明",""))))</f>
        <v/>
      </c>
    </row>
    <row r="452" customFormat="false" ht="15" hidden="false" customHeight="false" outlineLevel="0" collapsed="false">
      <c r="A452" s="30"/>
      <c r="B452" s="31"/>
      <c r="C452" s="32"/>
      <c r="D452" s="31"/>
      <c r="E452" s="33" t="str">
        <f aca="false">IF(COUNTA(A452:D452)=0,"",IF(COUNTA(A452:C452)&lt;3,"⚠未入力",IF(OR(A452&lt;設定!$C$8,A452&gt;設定!$C$9),"⚠期間外",IF(COUNTIF(設定!$B$15:$B$29,B452)=0,"⚠項目不明",""))))</f>
        <v/>
      </c>
    </row>
    <row r="453" customFormat="false" ht="15" hidden="false" customHeight="false" outlineLevel="0" collapsed="false">
      <c r="A453" s="30"/>
      <c r="B453" s="31"/>
      <c r="C453" s="32"/>
      <c r="D453" s="31"/>
      <c r="E453" s="33" t="str">
        <f aca="false">IF(COUNTA(A453:D453)=0,"",IF(COUNTA(A453:C453)&lt;3,"⚠未入力",IF(OR(A453&lt;設定!$C$8,A453&gt;設定!$C$9),"⚠期間外",IF(COUNTIF(設定!$B$15:$B$29,B453)=0,"⚠項目不明",""))))</f>
        <v/>
      </c>
    </row>
    <row r="454" customFormat="false" ht="15" hidden="false" customHeight="false" outlineLevel="0" collapsed="false">
      <c r="A454" s="30"/>
      <c r="B454" s="31"/>
      <c r="C454" s="32"/>
      <c r="D454" s="31"/>
      <c r="E454" s="33" t="str">
        <f aca="false">IF(COUNTA(A454:D454)=0,"",IF(COUNTA(A454:C454)&lt;3,"⚠未入力",IF(OR(A454&lt;設定!$C$8,A454&gt;設定!$C$9),"⚠期間外",IF(COUNTIF(設定!$B$15:$B$29,B454)=0,"⚠項目不明",""))))</f>
        <v/>
      </c>
    </row>
    <row r="455" customFormat="false" ht="15" hidden="false" customHeight="false" outlineLevel="0" collapsed="false">
      <c r="A455" s="30"/>
      <c r="B455" s="31"/>
      <c r="C455" s="32"/>
      <c r="D455" s="31"/>
      <c r="E455" s="33" t="str">
        <f aca="false">IF(COUNTA(A455:D455)=0,"",IF(COUNTA(A455:C455)&lt;3,"⚠未入力",IF(OR(A455&lt;設定!$C$8,A455&gt;設定!$C$9),"⚠期間外",IF(COUNTIF(設定!$B$15:$B$29,B455)=0,"⚠項目不明",""))))</f>
        <v/>
      </c>
    </row>
    <row r="456" customFormat="false" ht="15" hidden="false" customHeight="false" outlineLevel="0" collapsed="false">
      <c r="A456" s="30"/>
      <c r="B456" s="31"/>
      <c r="C456" s="32"/>
      <c r="D456" s="31"/>
      <c r="E456" s="33" t="str">
        <f aca="false">IF(COUNTA(A456:D456)=0,"",IF(COUNTA(A456:C456)&lt;3,"⚠未入力",IF(OR(A456&lt;設定!$C$8,A456&gt;設定!$C$9),"⚠期間外",IF(COUNTIF(設定!$B$15:$B$29,B456)=0,"⚠項目不明",""))))</f>
        <v/>
      </c>
    </row>
    <row r="457" customFormat="false" ht="15" hidden="false" customHeight="false" outlineLevel="0" collapsed="false">
      <c r="A457" s="30"/>
      <c r="B457" s="31"/>
      <c r="C457" s="32"/>
      <c r="D457" s="31"/>
      <c r="E457" s="33" t="str">
        <f aca="false">IF(COUNTA(A457:D457)=0,"",IF(COUNTA(A457:C457)&lt;3,"⚠未入力",IF(OR(A457&lt;設定!$C$8,A457&gt;設定!$C$9),"⚠期間外",IF(COUNTIF(設定!$B$15:$B$29,B457)=0,"⚠項目不明",""))))</f>
        <v/>
      </c>
    </row>
    <row r="458" customFormat="false" ht="15" hidden="false" customHeight="false" outlineLevel="0" collapsed="false">
      <c r="A458" s="30"/>
      <c r="B458" s="31"/>
      <c r="C458" s="32"/>
      <c r="D458" s="31"/>
      <c r="E458" s="33" t="str">
        <f aca="false">IF(COUNTA(A458:D458)=0,"",IF(COUNTA(A458:C458)&lt;3,"⚠未入力",IF(OR(A458&lt;設定!$C$8,A458&gt;設定!$C$9),"⚠期間外",IF(COUNTIF(設定!$B$15:$B$29,B458)=0,"⚠項目不明",""))))</f>
        <v/>
      </c>
    </row>
    <row r="459" customFormat="false" ht="15" hidden="false" customHeight="false" outlineLevel="0" collapsed="false">
      <c r="A459" s="30"/>
      <c r="B459" s="31"/>
      <c r="C459" s="32"/>
      <c r="D459" s="31"/>
      <c r="E459" s="33" t="str">
        <f aca="false">IF(COUNTA(A459:D459)=0,"",IF(COUNTA(A459:C459)&lt;3,"⚠未入力",IF(OR(A459&lt;設定!$C$8,A459&gt;設定!$C$9),"⚠期間外",IF(COUNTIF(設定!$B$15:$B$29,B459)=0,"⚠項目不明",""))))</f>
        <v/>
      </c>
    </row>
    <row r="460" customFormat="false" ht="15" hidden="false" customHeight="false" outlineLevel="0" collapsed="false">
      <c r="A460" s="30"/>
      <c r="B460" s="31"/>
      <c r="C460" s="32"/>
      <c r="D460" s="31"/>
      <c r="E460" s="33" t="str">
        <f aca="false">IF(COUNTA(A460:D460)=0,"",IF(COUNTA(A460:C460)&lt;3,"⚠未入力",IF(OR(A460&lt;設定!$C$8,A460&gt;設定!$C$9),"⚠期間外",IF(COUNTIF(設定!$B$15:$B$29,B460)=0,"⚠項目不明",""))))</f>
        <v/>
      </c>
    </row>
    <row r="461" customFormat="false" ht="15" hidden="false" customHeight="false" outlineLevel="0" collapsed="false">
      <c r="A461" s="30"/>
      <c r="B461" s="31"/>
      <c r="C461" s="32"/>
      <c r="D461" s="31"/>
      <c r="E461" s="33" t="str">
        <f aca="false">IF(COUNTA(A461:D461)=0,"",IF(COUNTA(A461:C461)&lt;3,"⚠未入力",IF(OR(A461&lt;設定!$C$8,A461&gt;設定!$C$9),"⚠期間外",IF(COUNTIF(設定!$B$15:$B$29,B461)=0,"⚠項目不明",""))))</f>
        <v/>
      </c>
    </row>
    <row r="462" customFormat="false" ht="15" hidden="false" customHeight="false" outlineLevel="0" collapsed="false">
      <c r="A462" s="30"/>
      <c r="B462" s="31"/>
      <c r="C462" s="32"/>
      <c r="D462" s="31"/>
      <c r="E462" s="33" t="str">
        <f aca="false">IF(COUNTA(A462:D462)=0,"",IF(COUNTA(A462:C462)&lt;3,"⚠未入力",IF(OR(A462&lt;設定!$C$8,A462&gt;設定!$C$9),"⚠期間外",IF(COUNTIF(設定!$B$15:$B$29,B462)=0,"⚠項目不明",""))))</f>
        <v/>
      </c>
    </row>
    <row r="463" customFormat="false" ht="15" hidden="false" customHeight="false" outlineLevel="0" collapsed="false">
      <c r="A463" s="30"/>
      <c r="B463" s="31"/>
      <c r="C463" s="32"/>
      <c r="D463" s="31"/>
      <c r="E463" s="33" t="str">
        <f aca="false">IF(COUNTA(A463:D463)=0,"",IF(COUNTA(A463:C463)&lt;3,"⚠未入力",IF(OR(A463&lt;設定!$C$8,A463&gt;設定!$C$9),"⚠期間外",IF(COUNTIF(設定!$B$15:$B$29,B463)=0,"⚠項目不明",""))))</f>
        <v/>
      </c>
    </row>
    <row r="464" customFormat="false" ht="15" hidden="false" customHeight="false" outlineLevel="0" collapsed="false">
      <c r="A464" s="30"/>
      <c r="B464" s="31"/>
      <c r="C464" s="32"/>
      <c r="D464" s="31"/>
      <c r="E464" s="33" t="str">
        <f aca="false">IF(COUNTA(A464:D464)=0,"",IF(COUNTA(A464:C464)&lt;3,"⚠未入力",IF(OR(A464&lt;設定!$C$8,A464&gt;設定!$C$9),"⚠期間外",IF(COUNTIF(設定!$B$15:$B$29,B464)=0,"⚠項目不明",""))))</f>
        <v/>
      </c>
    </row>
    <row r="465" customFormat="false" ht="15" hidden="false" customHeight="false" outlineLevel="0" collapsed="false">
      <c r="A465" s="30"/>
      <c r="B465" s="31"/>
      <c r="C465" s="32"/>
      <c r="D465" s="31"/>
      <c r="E465" s="33" t="str">
        <f aca="false">IF(COUNTA(A465:D465)=0,"",IF(COUNTA(A465:C465)&lt;3,"⚠未入力",IF(OR(A465&lt;設定!$C$8,A465&gt;設定!$C$9),"⚠期間外",IF(COUNTIF(設定!$B$15:$B$29,B465)=0,"⚠項目不明",""))))</f>
        <v/>
      </c>
    </row>
    <row r="466" customFormat="false" ht="15" hidden="false" customHeight="false" outlineLevel="0" collapsed="false">
      <c r="A466" s="30"/>
      <c r="B466" s="31"/>
      <c r="C466" s="32"/>
      <c r="D466" s="31"/>
      <c r="E466" s="33" t="str">
        <f aca="false">IF(COUNTA(A466:D466)=0,"",IF(COUNTA(A466:C466)&lt;3,"⚠未入力",IF(OR(A466&lt;設定!$C$8,A466&gt;設定!$C$9),"⚠期間外",IF(COUNTIF(設定!$B$15:$B$29,B466)=0,"⚠項目不明",""))))</f>
        <v/>
      </c>
    </row>
    <row r="467" customFormat="false" ht="15" hidden="false" customHeight="false" outlineLevel="0" collapsed="false">
      <c r="A467" s="30"/>
      <c r="B467" s="31"/>
      <c r="C467" s="32"/>
      <c r="D467" s="31"/>
      <c r="E467" s="33" t="str">
        <f aca="false">IF(COUNTA(A467:D467)=0,"",IF(COUNTA(A467:C467)&lt;3,"⚠未入力",IF(OR(A467&lt;設定!$C$8,A467&gt;設定!$C$9),"⚠期間外",IF(COUNTIF(設定!$B$15:$B$29,B467)=0,"⚠項目不明",""))))</f>
        <v/>
      </c>
    </row>
    <row r="468" customFormat="false" ht="15" hidden="false" customHeight="false" outlineLevel="0" collapsed="false">
      <c r="A468" s="30"/>
      <c r="B468" s="31"/>
      <c r="C468" s="32"/>
      <c r="D468" s="31"/>
      <c r="E468" s="33" t="str">
        <f aca="false">IF(COUNTA(A468:D468)=0,"",IF(COUNTA(A468:C468)&lt;3,"⚠未入力",IF(OR(A468&lt;設定!$C$8,A468&gt;設定!$C$9),"⚠期間外",IF(COUNTIF(設定!$B$15:$B$29,B468)=0,"⚠項目不明",""))))</f>
        <v/>
      </c>
    </row>
    <row r="469" customFormat="false" ht="15" hidden="false" customHeight="false" outlineLevel="0" collapsed="false">
      <c r="A469" s="30"/>
      <c r="B469" s="31"/>
      <c r="C469" s="32"/>
      <c r="D469" s="31"/>
      <c r="E469" s="33" t="str">
        <f aca="false">IF(COUNTA(A469:D469)=0,"",IF(COUNTA(A469:C469)&lt;3,"⚠未入力",IF(OR(A469&lt;設定!$C$8,A469&gt;設定!$C$9),"⚠期間外",IF(COUNTIF(設定!$B$15:$B$29,B469)=0,"⚠項目不明",""))))</f>
        <v/>
      </c>
    </row>
    <row r="470" customFormat="false" ht="15" hidden="false" customHeight="false" outlineLevel="0" collapsed="false">
      <c r="A470" s="30"/>
      <c r="B470" s="31"/>
      <c r="C470" s="32"/>
      <c r="D470" s="31"/>
      <c r="E470" s="33" t="str">
        <f aca="false">IF(COUNTA(A470:D470)=0,"",IF(COUNTA(A470:C470)&lt;3,"⚠未入力",IF(OR(A470&lt;設定!$C$8,A470&gt;設定!$C$9),"⚠期間外",IF(COUNTIF(設定!$B$15:$B$29,B470)=0,"⚠項目不明",""))))</f>
        <v/>
      </c>
    </row>
    <row r="471" customFormat="false" ht="15" hidden="false" customHeight="false" outlineLevel="0" collapsed="false">
      <c r="A471" s="30"/>
      <c r="B471" s="31"/>
      <c r="C471" s="32"/>
      <c r="D471" s="31"/>
      <c r="E471" s="33" t="str">
        <f aca="false">IF(COUNTA(A471:D471)=0,"",IF(COUNTA(A471:C471)&lt;3,"⚠未入力",IF(OR(A471&lt;設定!$C$8,A471&gt;設定!$C$9),"⚠期間外",IF(COUNTIF(設定!$B$15:$B$29,B471)=0,"⚠項目不明",""))))</f>
        <v/>
      </c>
    </row>
    <row r="472" customFormat="false" ht="15" hidden="false" customHeight="false" outlineLevel="0" collapsed="false">
      <c r="A472" s="30"/>
      <c r="B472" s="31"/>
      <c r="C472" s="32"/>
      <c r="D472" s="31"/>
      <c r="E472" s="33" t="str">
        <f aca="false">IF(COUNTA(A472:D472)=0,"",IF(COUNTA(A472:C472)&lt;3,"⚠未入力",IF(OR(A472&lt;設定!$C$8,A472&gt;設定!$C$9),"⚠期間外",IF(COUNTIF(設定!$B$15:$B$29,B472)=0,"⚠項目不明",""))))</f>
        <v/>
      </c>
    </row>
    <row r="473" customFormat="false" ht="15" hidden="false" customHeight="false" outlineLevel="0" collapsed="false">
      <c r="A473" s="30"/>
      <c r="B473" s="31"/>
      <c r="C473" s="32"/>
      <c r="D473" s="31"/>
      <c r="E473" s="33" t="str">
        <f aca="false">IF(COUNTA(A473:D473)=0,"",IF(COUNTA(A473:C473)&lt;3,"⚠未入力",IF(OR(A473&lt;設定!$C$8,A473&gt;設定!$C$9),"⚠期間外",IF(COUNTIF(設定!$B$15:$B$29,B473)=0,"⚠項目不明",""))))</f>
        <v/>
      </c>
    </row>
    <row r="474" customFormat="false" ht="15" hidden="false" customHeight="false" outlineLevel="0" collapsed="false">
      <c r="A474" s="30"/>
      <c r="B474" s="31"/>
      <c r="C474" s="32"/>
      <c r="D474" s="31"/>
      <c r="E474" s="33" t="str">
        <f aca="false">IF(COUNTA(A474:D474)=0,"",IF(COUNTA(A474:C474)&lt;3,"⚠未入力",IF(OR(A474&lt;設定!$C$8,A474&gt;設定!$C$9),"⚠期間外",IF(COUNTIF(設定!$B$15:$B$29,B474)=0,"⚠項目不明",""))))</f>
        <v/>
      </c>
    </row>
    <row r="475" customFormat="false" ht="15" hidden="false" customHeight="false" outlineLevel="0" collapsed="false">
      <c r="A475" s="30"/>
      <c r="B475" s="31"/>
      <c r="C475" s="32"/>
      <c r="D475" s="31"/>
      <c r="E475" s="33" t="str">
        <f aca="false">IF(COUNTA(A475:D475)=0,"",IF(COUNTA(A475:C475)&lt;3,"⚠未入力",IF(OR(A475&lt;設定!$C$8,A475&gt;設定!$C$9),"⚠期間外",IF(COUNTIF(設定!$B$15:$B$29,B475)=0,"⚠項目不明",""))))</f>
        <v/>
      </c>
    </row>
    <row r="476" customFormat="false" ht="15" hidden="false" customHeight="false" outlineLevel="0" collapsed="false">
      <c r="A476" s="30"/>
      <c r="B476" s="31"/>
      <c r="C476" s="32"/>
      <c r="D476" s="31"/>
      <c r="E476" s="33" t="str">
        <f aca="false">IF(COUNTA(A476:D476)=0,"",IF(COUNTA(A476:C476)&lt;3,"⚠未入力",IF(OR(A476&lt;設定!$C$8,A476&gt;設定!$C$9),"⚠期間外",IF(COUNTIF(設定!$B$15:$B$29,B476)=0,"⚠項目不明",""))))</f>
        <v/>
      </c>
    </row>
    <row r="477" customFormat="false" ht="15" hidden="false" customHeight="false" outlineLevel="0" collapsed="false">
      <c r="A477" s="30"/>
      <c r="B477" s="31"/>
      <c r="C477" s="32"/>
      <c r="D477" s="31"/>
      <c r="E477" s="33" t="str">
        <f aca="false">IF(COUNTA(A477:D477)=0,"",IF(COUNTA(A477:C477)&lt;3,"⚠未入力",IF(OR(A477&lt;設定!$C$8,A477&gt;設定!$C$9),"⚠期間外",IF(COUNTIF(設定!$B$15:$B$29,B477)=0,"⚠項目不明",""))))</f>
        <v/>
      </c>
    </row>
    <row r="478" customFormat="false" ht="15" hidden="false" customHeight="false" outlineLevel="0" collapsed="false">
      <c r="A478" s="30"/>
      <c r="B478" s="31"/>
      <c r="C478" s="32"/>
      <c r="D478" s="31"/>
      <c r="E478" s="33" t="str">
        <f aca="false">IF(COUNTA(A478:D478)=0,"",IF(COUNTA(A478:C478)&lt;3,"⚠未入力",IF(OR(A478&lt;設定!$C$8,A478&gt;設定!$C$9),"⚠期間外",IF(COUNTIF(設定!$B$15:$B$29,B478)=0,"⚠項目不明",""))))</f>
        <v/>
      </c>
    </row>
    <row r="479" customFormat="false" ht="15" hidden="false" customHeight="false" outlineLevel="0" collapsed="false">
      <c r="A479" s="30"/>
      <c r="B479" s="31"/>
      <c r="C479" s="32"/>
      <c r="D479" s="31"/>
      <c r="E479" s="33" t="str">
        <f aca="false">IF(COUNTA(A479:D479)=0,"",IF(COUNTA(A479:C479)&lt;3,"⚠未入力",IF(OR(A479&lt;設定!$C$8,A479&gt;設定!$C$9),"⚠期間外",IF(COUNTIF(設定!$B$15:$B$29,B479)=0,"⚠項目不明",""))))</f>
        <v/>
      </c>
    </row>
    <row r="480" customFormat="false" ht="15" hidden="false" customHeight="false" outlineLevel="0" collapsed="false">
      <c r="A480" s="30"/>
      <c r="B480" s="31"/>
      <c r="C480" s="32"/>
      <c r="D480" s="31"/>
      <c r="E480" s="33" t="str">
        <f aca="false">IF(COUNTA(A480:D480)=0,"",IF(COUNTA(A480:C480)&lt;3,"⚠未入力",IF(OR(A480&lt;設定!$C$8,A480&gt;設定!$C$9),"⚠期間外",IF(COUNTIF(設定!$B$15:$B$29,B480)=0,"⚠項目不明",""))))</f>
        <v/>
      </c>
    </row>
    <row r="481" customFormat="false" ht="15" hidden="false" customHeight="false" outlineLevel="0" collapsed="false">
      <c r="A481" s="30"/>
      <c r="B481" s="31"/>
      <c r="C481" s="32"/>
      <c r="D481" s="31"/>
      <c r="E481" s="33" t="str">
        <f aca="false">IF(COUNTA(A481:D481)=0,"",IF(COUNTA(A481:C481)&lt;3,"⚠未入力",IF(OR(A481&lt;設定!$C$8,A481&gt;設定!$C$9),"⚠期間外",IF(COUNTIF(設定!$B$15:$B$29,B481)=0,"⚠項目不明",""))))</f>
        <v/>
      </c>
    </row>
    <row r="482" customFormat="false" ht="15" hidden="false" customHeight="false" outlineLevel="0" collapsed="false">
      <c r="A482" s="30"/>
      <c r="B482" s="31"/>
      <c r="C482" s="32"/>
      <c r="D482" s="31"/>
      <c r="E482" s="33" t="str">
        <f aca="false">IF(COUNTA(A482:D482)=0,"",IF(COUNTA(A482:C482)&lt;3,"⚠未入力",IF(OR(A482&lt;設定!$C$8,A482&gt;設定!$C$9),"⚠期間外",IF(COUNTIF(設定!$B$15:$B$29,B482)=0,"⚠項目不明",""))))</f>
        <v/>
      </c>
    </row>
    <row r="483" customFormat="false" ht="15" hidden="false" customHeight="false" outlineLevel="0" collapsed="false">
      <c r="A483" s="30"/>
      <c r="B483" s="31"/>
      <c r="C483" s="32"/>
      <c r="D483" s="31"/>
      <c r="E483" s="33" t="str">
        <f aca="false">IF(COUNTA(A483:D483)=0,"",IF(COUNTA(A483:C483)&lt;3,"⚠未入力",IF(OR(A483&lt;設定!$C$8,A483&gt;設定!$C$9),"⚠期間外",IF(COUNTIF(設定!$B$15:$B$29,B483)=0,"⚠項目不明",""))))</f>
        <v/>
      </c>
    </row>
    <row r="484" customFormat="false" ht="15" hidden="false" customHeight="false" outlineLevel="0" collapsed="false">
      <c r="A484" s="30"/>
      <c r="B484" s="31"/>
      <c r="C484" s="32"/>
      <c r="D484" s="31"/>
      <c r="E484" s="33" t="str">
        <f aca="false">IF(COUNTA(A484:D484)=0,"",IF(COUNTA(A484:C484)&lt;3,"⚠未入力",IF(OR(A484&lt;設定!$C$8,A484&gt;設定!$C$9),"⚠期間外",IF(COUNTIF(設定!$B$15:$B$29,B484)=0,"⚠項目不明",""))))</f>
        <v/>
      </c>
    </row>
    <row r="485" customFormat="false" ht="15" hidden="false" customHeight="false" outlineLevel="0" collapsed="false">
      <c r="A485" s="30"/>
      <c r="B485" s="31"/>
      <c r="C485" s="32"/>
      <c r="D485" s="31"/>
      <c r="E485" s="33" t="str">
        <f aca="false">IF(COUNTA(A485:D485)=0,"",IF(COUNTA(A485:C485)&lt;3,"⚠未入力",IF(OR(A485&lt;設定!$C$8,A485&gt;設定!$C$9),"⚠期間外",IF(COUNTIF(設定!$B$15:$B$29,B485)=0,"⚠項目不明",""))))</f>
        <v/>
      </c>
    </row>
    <row r="486" customFormat="false" ht="15" hidden="false" customHeight="false" outlineLevel="0" collapsed="false">
      <c r="A486" s="30"/>
      <c r="B486" s="31"/>
      <c r="C486" s="32"/>
      <c r="D486" s="31"/>
      <c r="E486" s="33" t="str">
        <f aca="false">IF(COUNTA(A486:D486)=0,"",IF(COUNTA(A486:C486)&lt;3,"⚠未入力",IF(OR(A486&lt;設定!$C$8,A486&gt;設定!$C$9),"⚠期間外",IF(COUNTIF(設定!$B$15:$B$29,B486)=0,"⚠項目不明",""))))</f>
        <v/>
      </c>
    </row>
    <row r="487" customFormat="false" ht="15" hidden="false" customHeight="false" outlineLevel="0" collapsed="false">
      <c r="A487" s="30"/>
      <c r="B487" s="31"/>
      <c r="C487" s="32"/>
      <c r="D487" s="31"/>
      <c r="E487" s="33" t="str">
        <f aca="false">IF(COUNTA(A487:D487)=0,"",IF(COUNTA(A487:C487)&lt;3,"⚠未入力",IF(OR(A487&lt;設定!$C$8,A487&gt;設定!$C$9),"⚠期間外",IF(COUNTIF(設定!$B$15:$B$29,B487)=0,"⚠項目不明",""))))</f>
        <v/>
      </c>
    </row>
    <row r="488" customFormat="false" ht="15" hidden="false" customHeight="false" outlineLevel="0" collapsed="false">
      <c r="A488" s="30"/>
      <c r="B488" s="31"/>
      <c r="C488" s="32"/>
      <c r="D488" s="31"/>
      <c r="E488" s="33" t="str">
        <f aca="false">IF(COUNTA(A488:D488)=0,"",IF(COUNTA(A488:C488)&lt;3,"⚠未入力",IF(OR(A488&lt;設定!$C$8,A488&gt;設定!$C$9),"⚠期間外",IF(COUNTIF(設定!$B$15:$B$29,B488)=0,"⚠項目不明",""))))</f>
        <v/>
      </c>
    </row>
    <row r="489" customFormat="false" ht="15" hidden="false" customHeight="false" outlineLevel="0" collapsed="false">
      <c r="A489" s="30"/>
      <c r="B489" s="31"/>
      <c r="C489" s="32"/>
      <c r="D489" s="31"/>
      <c r="E489" s="33" t="str">
        <f aca="false">IF(COUNTA(A489:D489)=0,"",IF(COUNTA(A489:C489)&lt;3,"⚠未入力",IF(OR(A489&lt;設定!$C$8,A489&gt;設定!$C$9),"⚠期間外",IF(COUNTIF(設定!$B$15:$B$29,B489)=0,"⚠項目不明",""))))</f>
        <v/>
      </c>
    </row>
    <row r="490" customFormat="false" ht="15" hidden="false" customHeight="false" outlineLevel="0" collapsed="false">
      <c r="A490" s="30"/>
      <c r="B490" s="31"/>
      <c r="C490" s="32"/>
      <c r="D490" s="31"/>
      <c r="E490" s="33" t="str">
        <f aca="false">IF(COUNTA(A490:D490)=0,"",IF(COUNTA(A490:C490)&lt;3,"⚠未入力",IF(OR(A490&lt;設定!$C$8,A490&gt;設定!$C$9),"⚠期間外",IF(COUNTIF(設定!$B$15:$B$29,B490)=0,"⚠項目不明",""))))</f>
        <v/>
      </c>
    </row>
    <row r="491" customFormat="false" ht="15" hidden="false" customHeight="false" outlineLevel="0" collapsed="false">
      <c r="A491" s="30"/>
      <c r="B491" s="31"/>
      <c r="C491" s="32"/>
      <c r="D491" s="31"/>
      <c r="E491" s="33" t="str">
        <f aca="false">IF(COUNTA(A491:D491)=0,"",IF(COUNTA(A491:C491)&lt;3,"⚠未入力",IF(OR(A491&lt;設定!$C$8,A491&gt;設定!$C$9),"⚠期間外",IF(COUNTIF(設定!$B$15:$B$29,B491)=0,"⚠項目不明",""))))</f>
        <v/>
      </c>
    </row>
    <row r="492" customFormat="false" ht="15" hidden="false" customHeight="false" outlineLevel="0" collapsed="false">
      <c r="A492" s="30"/>
      <c r="B492" s="31"/>
      <c r="C492" s="32"/>
      <c r="D492" s="31"/>
      <c r="E492" s="33" t="str">
        <f aca="false">IF(COUNTA(A492:D492)=0,"",IF(COUNTA(A492:C492)&lt;3,"⚠未入力",IF(OR(A492&lt;設定!$C$8,A492&gt;設定!$C$9),"⚠期間外",IF(COUNTIF(設定!$B$15:$B$29,B492)=0,"⚠項目不明",""))))</f>
        <v/>
      </c>
    </row>
    <row r="493" customFormat="false" ht="15" hidden="false" customHeight="false" outlineLevel="0" collapsed="false">
      <c r="A493" s="30"/>
      <c r="B493" s="31"/>
      <c r="C493" s="32"/>
      <c r="D493" s="31"/>
      <c r="E493" s="33" t="str">
        <f aca="false">IF(COUNTA(A493:D493)=0,"",IF(COUNTA(A493:C493)&lt;3,"⚠未入力",IF(OR(A493&lt;設定!$C$8,A493&gt;設定!$C$9),"⚠期間外",IF(COUNTIF(設定!$B$15:$B$29,B493)=0,"⚠項目不明",""))))</f>
        <v/>
      </c>
    </row>
    <row r="494" customFormat="false" ht="15" hidden="false" customHeight="false" outlineLevel="0" collapsed="false">
      <c r="A494" s="30"/>
      <c r="B494" s="31"/>
      <c r="C494" s="32"/>
      <c r="D494" s="31"/>
      <c r="E494" s="33" t="str">
        <f aca="false">IF(COUNTA(A494:D494)=0,"",IF(COUNTA(A494:C494)&lt;3,"⚠未入力",IF(OR(A494&lt;設定!$C$8,A494&gt;設定!$C$9),"⚠期間外",IF(COUNTIF(設定!$B$15:$B$29,B494)=0,"⚠項目不明",""))))</f>
        <v/>
      </c>
    </row>
    <row r="495" customFormat="false" ht="15" hidden="false" customHeight="false" outlineLevel="0" collapsed="false">
      <c r="A495" s="30"/>
      <c r="B495" s="31"/>
      <c r="C495" s="32"/>
      <c r="D495" s="31"/>
      <c r="E495" s="33" t="str">
        <f aca="false">IF(COUNTA(A495:D495)=0,"",IF(COUNTA(A495:C495)&lt;3,"⚠未入力",IF(OR(A495&lt;設定!$C$8,A495&gt;設定!$C$9),"⚠期間外",IF(COUNTIF(設定!$B$15:$B$29,B495)=0,"⚠項目不明",""))))</f>
        <v/>
      </c>
    </row>
    <row r="496" customFormat="false" ht="15" hidden="false" customHeight="false" outlineLevel="0" collapsed="false">
      <c r="A496" s="30"/>
      <c r="B496" s="31"/>
      <c r="C496" s="32"/>
      <c r="D496" s="31"/>
      <c r="E496" s="33" t="str">
        <f aca="false">IF(COUNTA(A496:D496)=0,"",IF(COUNTA(A496:C496)&lt;3,"⚠未入力",IF(OR(A496&lt;設定!$C$8,A496&gt;設定!$C$9),"⚠期間外",IF(COUNTIF(設定!$B$15:$B$29,B496)=0,"⚠項目不明",""))))</f>
        <v/>
      </c>
    </row>
    <row r="497" customFormat="false" ht="15" hidden="false" customHeight="false" outlineLevel="0" collapsed="false">
      <c r="A497" s="30"/>
      <c r="B497" s="31"/>
      <c r="C497" s="32"/>
      <c r="D497" s="31"/>
      <c r="E497" s="33" t="str">
        <f aca="false">IF(COUNTA(A497:D497)=0,"",IF(COUNTA(A497:C497)&lt;3,"⚠未入力",IF(OR(A497&lt;設定!$C$8,A497&gt;設定!$C$9),"⚠期間外",IF(COUNTIF(設定!$B$15:$B$29,B497)=0,"⚠項目不明",""))))</f>
        <v/>
      </c>
    </row>
    <row r="498" customFormat="false" ht="15" hidden="false" customHeight="false" outlineLevel="0" collapsed="false">
      <c r="A498" s="30"/>
      <c r="B498" s="31"/>
      <c r="C498" s="32"/>
      <c r="D498" s="31"/>
      <c r="E498" s="33" t="str">
        <f aca="false">IF(COUNTA(A498:D498)=0,"",IF(COUNTA(A498:C498)&lt;3,"⚠未入力",IF(OR(A498&lt;設定!$C$8,A498&gt;設定!$C$9),"⚠期間外",IF(COUNTIF(設定!$B$15:$B$29,B498)=0,"⚠項目不明",""))))</f>
        <v/>
      </c>
    </row>
    <row r="499" customFormat="false" ht="15" hidden="false" customHeight="false" outlineLevel="0" collapsed="false">
      <c r="A499" s="30"/>
      <c r="B499" s="31"/>
      <c r="C499" s="32"/>
      <c r="D499" s="31"/>
      <c r="E499" s="33" t="str">
        <f aca="false">IF(COUNTA(A499:D499)=0,"",IF(COUNTA(A499:C499)&lt;3,"⚠未入力",IF(OR(A499&lt;設定!$C$8,A499&gt;設定!$C$9),"⚠期間外",IF(COUNTIF(設定!$B$15:$B$29,B499)=0,"⚠項目不明",""))))</f>
        <v/>
      </c>
    </row>
    <row r="500" customFormat="false" ht="15" hidden="false" customHeight="false" outlineLevel="0" collapsed="false">
      <c r="A500" s="30"/>
      <c r="B500" s="31"/>
      <c r="C500" s="32"/>
      <c r="D500" s="31"/>
      <c r="E500" s="33" t="str">
        <f aca="false">IF(COUNTA(A500:D500)=0,"",IF(COUNTA(A500:C500)&lt;3,"⚠未入力",IF(OR(A500&lt;設定!$C$8,A500&gt;設定!$C$9),"⚠期間外",IF(COUNTIF(設定!$B$15:$B$29,B500)=0,"⚠項目不明",""))))</f>
        <v/>
      </c>
    </row>
    <row r="501" customFormat="false" ht="15" hidden="false" customHeight="false" outlineLevel="0" collapsed="false">
      <c r="A501" s="30"/>
      <c r="B501" s="31"/>
      <c r="C501" s="32"/>
      <c r="D501" s="31"/>
      <c r="E501" s="33" t="str">
        <f aca="false">IF(COUNTA(A501:D501)=0,"",IF(COUNTA(A501:C501)&lt;3,"⚠未入力",IF(OR(A501&lt;設定!$C$8,A501&gt;設定!$C$9),"⚠期間外",IF(COUNTIF(設定!$B$15:$B$29,B501)=0,"⚠項目不明",""))))</f>
        <v/>
      </c>
    </row>
    <row r="502" customFormat="false" ht="15" hidden="false" customHeight="false" outlineLevel="0" collapsed="false">
      <c r="A502" s="30"/>
      <c r="B502" s="31"/>
      <c r="C502" s="32"/>
      <c r="D502" s="31"/>
      <c r="E502" s="33" t="str">
        <f aca="false">IF(COUNTA(A502:D502)=0,"",IF(COUNTA(A502:C502)&lt;3,"⚠未入力",IF(OR(A502&lt;設定!$C$8,A502&gt;設定!$C$9),"⚠期間外",IF(COUNTIF(設定!$B$15:$B$29,B502)=0,"⚠項目不明",""))))</f>
        <v/>
      </c>
    </row>
    <row r="503" customFormat="false" ht="15" hidden="false" customHeight="false" outlineLevel="0" collapsed="false">
      <c r="A503" s="30"/>
      <c r="B503" s="31"/>
      <c r="C503" s="32"/>
      <c r="D503" s="31"/>
      <c r="E503" s="33" t="str">
        <f aca="false">IF(COUNTA(A503:D503)=0,"",IF(COUNTA(A503:C503)&lt;3,"⚠未入力",IF(OR(A503&lt;設定!$C$8,A503&gt;設定!$C$9),"⚠期間外",IF(COUNTIF(設定!$B$15:$B$29,B503)=0,"⚠項目不明",""))))</f>
        <v/>
      </c>
    </row>
    <row r="504" customFormat="false" ht="15" hidden="false" customHeight="false" outlineLevel="0" collapsed="false">
      <c r="A504" s="30"/>
      <c r="B504" s="31"/>
      <c r="C504" s="32"/>
      <c r="D504" s="31"/>
      <c r="E504" s="33" t="str">
        <f aca="false">IF(COUNTA(A504:D504)=0,"",IF(COUNTA(A504:C504)&lt;3,"⚠未入力",IF(OR(A504&lt;設定!$C$8,A504&gt;設定!$C$9),"⚠期間外",IF(COUNTIF(設定!$B$15:$B$29,B504)=0,"⚠項目不明",""))))</f>
        <v/>
      </c>
    </row>
    <row r="505" customFormat="false" ht="15" hidden="false" customHeight="false" outlineLevel="0" collapsed="false">
      <c r="A505" s="30"/>
      <c r="B505" s="31"/>
      <c r="C505" s="32"/>
      <c r="D505" s="31"/>
      <c r="E505" s="33" t="str">
        <f aca="false">IF(COUNTA(A505:D505)=0,"",IF(COUNTA(A505:C505)&lt;3,"⚠未入力",IF(OR(A505&lt;設定!$C$8,A505&gt;設定!$C$9),"⚠期間外",IF(COUNTIF(設定!$B$15:$B$29,B505)=0,"⚠項目不明",""))))</f>
        <v/>
      </c>
    </row>
    <row r="506" customFormat="false" ht="15" hidden="false" customHeight="false" outlineLevel="0" collapsed="false">
      <c r="A506" s="30"/>
      <c r="B506" s="31"/>
      <c r="C506" s="32"/>
      <c r="D506" s="31"/>
      <c r="E506" s="33" t="str">
        <f aca="false">IF(COUNTA(A506:D506)=0,"",IF(COUNTA(A506:C506)&lt;3,"⚠未入力",IF(OR(A506&lt;設定!$C$8,A506&gt;設定!$C$9),"⚠期間外",IF(COUNTIF(設定!$B$15:$B$29,B506)=0,"⚠項目不明",""))))</f>
        <v/>
      </c>
    </row>
    <row r="507" customFormat="false" ht="15" hidden="false" customHeight="false" outlineLevel="0" collapsed="false">
      <c r="A507" s="30"/>
      <c r="B507" s="31"/>
      <c r="C507" s="32"/>
      <c r="D507" s="31"/>
      <c r="E507" s="33" t="str">
        <f aca="false">IF(COUNTA(A507:D507)=0,"",IF(COUNTA(A507:C507)&lt;3,"⚠未入力",IF(OR(A507&lt;設定!$C$8,A507&gt;設定!$C$9),"⚠期間外",IF(COUNTIF(設定!$B$15:$B$29,B507)=0,"⚠項目不明",""))))</f>
        <v/>
      </c>
    </row>
    <row r="508" customFormat="false" ht="15" hidden="false" customHeight="false" outlineLevel="0" collapsed="false">
      <c r="A508" s="30"/>
      <c r="B508" s="31"/>
      <c r="C508" s="32"/>
      <c r="D508" s="31"/>
      <c r="E508" s="33" t="str">
        <f aca="false">IF(COUNTA(A508:D508)=0,"",IF(COUNTA(A508:C508)&lt;3,"⚠未入力",IF(OR(A508&lt;設定!$C$8,A508&gt;設定!$C$9),"⚠期間外",IF(COUNTIF(設定!$B$15:$B$29,B508)=0,"⚠項目不明",""))))</f>
        <v/>
      </c>
    </row>
    <row r="509" customFormat="false" ht="15" hidden="false" customHeight="false" outlineLevel="0" collapsed="false">
      <c r="A509" s="30"/>
      <c r="B509" s="31"/>
      <c r="C509" s="32"/>
      <c r="D509" s="31"/>
      <c r="E509" s="33" t="str">
        <f aca="false">IF(COUNTA(A509:D509)=0,"",IF(COUNTA(A509:C509)&lt;3,"⚠未入力",IF(OR(A509&lt;設定!$C$8,A509&gt;設定!$C$9),"⚠期間外",IF(COUNTIF(設定!$B$15:$B$29,B509)=0,"⚠項目不明",""))))</f>
        <v/>
      </c>
    </row>
    <row r="510" customFormat="false" ht="15" hidden="false" customHeight="false" outlineLevel="0" collapsed="false">
      <c r="A510" s="30"/>
      <c r="B510" s="31"/>
      <c r="C510" s="32"/>
      <c r="D510" s="31"/>
      <c r="E510" s="33" t="str">
        <f aca="false">IF(COUNTA(A510:D510)=0,"",IF(COUNTA(A510:C510)&lt;3,"⚠未入力",IF(OR(A510&lt;設定!$C$8,A510&gt;設定!$C$9),"⚠期間外",IF(COUNTIF(設定!$B$15:$B$29,B510)=0,"⚠項目不明",""))))</f>
        <v/>
      </c>
    </row>
    <row r="511" customFormat="false" ht="15" hidden="false" customHeight="false" outlineLevel="0" collapsed="false">
      <c r="A511" s="30"/>
      <c r="B511" s="31"/>
      <c r="C511" s="32"/>
      <c r="D511" s="31"/>
      <c r="E511" s="33" t="str">
        <f aca="false">IF(COUNTA(A511:D511)=0,"",IF(COUNTA(A511:C511)&lt;3,"⚠未入力",IF(OR(A511&lt;設定!$C$8,A511&gt;設定!$C$9),"⚠期間外",IF(COUNTIF(設定!$B$15:$B$29,B511)=0,"⚠項目不明",""))))</f>
        <v/>
      </c>
    </row>
    <row r="512" customFormat="false" ht="15" hidden="false" customHeight="false" outlineLevel="0" collapsed="false">
      <c r="A512" s="30"/>
      <c r="B512" s="31"/>
      <c r="C512" s="32"/>
      <c r="D512" s="31"/>
      <c r="E512" s="33" t="str">
        <f aca="false">IF(COUNTA(A512:D512)=0,"",IF(COUNTA(A512:C512)&lt;3,"⚠未入力",IF(OR(A512&lt;設定!$C$8,A512&gt;設定!$C$9),"⚠期間外",IF(COUNTIF(設定!$B$15:$B$29,B512)=0,"⚠項目不明",""))))</f>
        <v/>
      </c>
    </row>
    <row r="513" customFormat="false" ht="15" hidden="false" customHeight="false" outlineLevel="0" collapsed="false">
      <c r="A513" s="30"/>
      <c r="B513" s="31"/>
      <c r="C513" s="32"/>
      <c r="D513" s="31"/>
      <c r="E513" s="33" t="str">
        <f aca="false">IF(COUNTA(A513:D513)=0,"",IF(COUNTA(A513:C513)&lt;3,"⚠未入力",IF(OR(A513&lt;設定!$C$8,A513&gt;設定!$C$9),"⚠期間外",IF(COUNTIF(設定!$B$15:$B$29,B513)=0,"⚠項目不明",""))))</f>
        <v/>
      </c>
    </row>
    <row r="514" customFormat="false" ht="15" hidden="false" customHeight="false" outlineLevel="0" collapsed="false">
      <c r="A514" s="30"/>
      <c r="B514" s="31"/>
      <c r="C514" s="32"/>
      <c r="D514" s="31"/>
      <c r="E514" s="33" t="str">
        <f aca="false">IF(COUNTA(A514:D514)=0,"",IF(COUNTA(A514:C514)&lt;3,"⚠未入力",IF(OR(A514&lt;設定!$C$8,A514&gt;設定!$C$9),"⚠期間外",IF(COUNTIF(設定!$B$15:$B$29,B514)=0,"⚠項目不明",""))))</f>
        <v/>
      </c>
    </row>
    <row r="515" customFormat="false" ht="15" hidden="false" customHeight="false" outlineLevel="0" collapsed="false">
      <c r="A515" s="30"/>
      <c r="B515" s="31"/>
      <c r="C515" s="32"/>
      <c r="D515" s="31"/>
      <c r="E515" s="33" t="str">
        <f aca="false">IF(COUNTA(A515:D515)=0,"",IF(COUNTA(A515:C515)&lt;3,"⚠未入力",IF(OR(A515&lt;設定!$C$8,A515&gt;設定!$C$9),"⚠期間外",IF(COUNTIF(設定!$B$15:$B$29,B515)=0,"⚠項目不明",""))))</f>
        <v/>
      </c>
    </row>
    <row r="516" customFormat="false" ht="15" hidden="false" customHeight="false" outlineLevel="0" collapsed="false">
      <c r="A516" s="30"/>
      <c r="B516" s="31"/>
      <c r="C516" s="32"/>
      <c r="D516" s="31"/>
      <c r="E516" s="33" t="str">
        <f aca="false">IF(COUNTA(A516:D516)=0,"",IF(COUNTA(A516:C516)&lt;3,"⚠未入力",IF(OR(A516&lt;設定!$C$8,A516&gt;設定!$C$9),"⚠期間外",IF(COUNTIF(設定!$B$15:$B$29,B516)=0,"⚠項目不明",""))))</f>
        <v/>
      </c>
    </row>
    <row r="517" customFormat="false" ht="15" hidden="false" customHeight="false" outlineLevel="0" collapsed="false">
      <c r="A517" s="30"/>
      <c r="B517" s="31"/>
      <c r="C517" s="32"/>
      <c r="D517" s="31"/>
      <c r="E517" s="33" t="str">
        <f aca="false">IF(COUNTA(A517:D517)=0,"",IF(COUNTA(A517:C517)&lt;3,"⚠未入力",IF(OR(A517&lt;設定!$C$8,A517&gt;設定!$C$9),"⚠期間外",IF(COUNTIF(設定!$B$15:$B$29,B517)=0,"⚠項目不明",""))))</f>
        <v/>
      </c>
    </row>
    <row r="518" customFormat="false" ht="15" hidden="false" customHeight="false" outlineLevel="0" collapsed="false">
      <c r="A518" s="30"/>
      <c r="B518" s="31"/>
      <c r="C518" s="32"/>
      <c r="D518" s="31"/>
      <c r="E518" s="33" t="str">
        <f aca="false">IF(COUNTA(A518:D518)=0,"",IF(COUNTA(A518:C518)&lt;3,"⚠未入力",IF(OR(A518&lt;設定!$C$8,A518&gt;設定!$C$9),"⚠期間外",IF(COUNTIF(設定!$B$15:$B$29,B518)=0,"⚠項目不明",""))))</f>
        <v/>
      </c>
    </row>
    <row r="519" customFormat="false" ht="15" hidden="false" customHeight="false" outlineLevel="0" collapsed="false">
      <c r="A519" s="30"/>
      <c r="B519" s="31"/>
      <c r="C519" s="32"/>
      <c r="D519" s="31"/>
      <c r="E519" s="33" t="str">
        <f aca="false">IF(COUNTA(A519:D519)=0,"",IF(COUNTA(A519:C519)&lt;3,"⚠未入力",IF(OR(A519&lt;設定!$C$8,A519&gt;設定!$C$9),"⚠期間外",IF(COUNTIF(設定!$B$15:$B$29,B519)=0,"⚠項目不明",""))))</f>
        <v/>
      </c>
    </row>
    <row r="520" customFormat="false" ht="15" hidden="false" customHeight="false" outlineLevel="0" collapsed="false">
      <c r="A520" s="30"/>
      <c r="B520" s="31"/>
      <c r="C520" s="32"/>
      <c r="D520" s="31"/>
      <c r="E520" s="33" t="str">
        <f aca="false">IF(COUNTA(A520:D520)=0,"",IF(COUNTA(A520:C520)&lt;3,"⚠未入力",IF(OR(A520&lt;設定!$C$8,A520&gt;設定!$C$9),"⚠期間外",IF(COUNTIF(設定!$B$15:$B$29,B520)=0,"⚠項目不明",""))))</f>
        <v/>
      </c>
    </row>
    <row r="521" customFormat="false" ht="15" hidden="false" customHeight="false" outlineLevel="0" collapsed="false">
      <c r="A521" s="30"/>
      <c r="B521" s="31"/>
      <c r="C521" s="32"/>
      <c r="D521" s="31"/>
      <c r="E521" s="33" t="str">
        <f aca="false">IF(COUNTA(A521:D521)=0,"",IF(COUNTA(A521:C521)&lt;3,"⚠未入力",IF(OR(A521&lt;設定!$C$8,A521&gt;設定!$C$9),"⚠期間外",IF(COUNTIF(設定!$B$15:$B$29,B521)=0,"⚠項目不明",""))))</f>
        <v/>
      </c>
    </row>
    <row r="522" customFormat="false" ht="15" hidden="false" customHeight="false" outlineLevel="0" collapsed="false">
      <c r="A522" s="30"/>
      <c r="B522" s="31"/>
      <c r="C522" s="32"/>
      <c r="D522" s="31"/>
      <c r="E522" s="33" t="str">
        <f aca="false">IF(COUNTA(A522:D522)=0,"",IF(COUNTA(A522:C522)&lt;3,"⚠未入力",IF(OR(A522&lt;設定!$C$8,A522&gt;設定!$C$9),"⚠期間外",IF(COUNTIF(設定!$B$15:$B$29,B522)=0,"⚠項目不明",""))))</f>
        <v/>
      </c>
    </row>
    <row r="523" customFormat="false" ht="15" hidden="false" customHeight="false" outlineLevel="0" collapsed="false">
      <c r="A523" s="30"/>
      <c r="B523" s="31"/>
      <c r="C523" s="32"/>
      <c r="D523" s="31"/>
      <c r="E523" s="33" t="str">
        <f aca="false">IF(COUNTA(A523:D523)=0,"",IF(COUNTA(A523:C523)&lt;3,"⚠未入力",IF(OR(A523&lt;設定!$C$8,A523&gt;設定!$C$9),"⚠期間外",IF(COUNTIF(設定!$B$15:$B$29,B523)=0,"⚠項目不明",""))))</f>
        <v/>
      </c>
    </row>
    <row r="524" customFormat="false" ht="15" hidden="false" customHeight="false" outlineLevel="0" collapsed="false">
      <c r="A524" s="30"/>
      <c r="B524" s="31"/>
      <c r="C524" s="32"/>
      <c r="D524" s="31"/>
      <c r="E524" s="33" t="str">
        <f aca="false">IF(COUNTA(A524:D524)=0,"",IF(COUNTA(A524:C524)&lt;3,"⚠未入力",IF(OR(A524&lt;設定!$C$8,A524&gt;設定!$C$9),"⚠期間外",IF(COUNTIF(設定!$B$15:$B$29,B524)=0,"⚠項目不明",""))))</f>
        <v/>
      </c>
    </row>
    <row r="525" customFormat="false" ht="15" hidden="false" customHeight="false" outlineLevel="0" collapsed="false">
      <c r="A525" s="30"/>
      <c r="B525" s="31"/>
      <c r="C525" s="32"/>
      <c r="D525" s="31"/>
      <c r="E525" s="33" t="str">
        <f aca="false">IF(COUNTA(A525:D525)=0,"",IF(COUNTA(A525:C525)&lt;3,"⚠未入力",IF(OR(A525&lt;設定!$C$8,A525&gt;設定!$C$9),"⚠期間外",IF(COUNTIF(設定!$B$15:$B$29,B525)=0,"⚠項目不明",""))))</f>
        <v/>
      </c>
    </row>
    <row r="526" customFormat="false" ht="15" hidden="false" customHeight="false" outlineLevel="0" collapsed="false">
      <c r="A526" s="30"/>
      <c r="B526" s="31"/>
      <c r="C526" s="32"/>
      <c r="D526" s="31"/>
      <c r="E526" s="33" t="str">
        <f aca="false">IF(COUNTA(A526:D526)=0,"",IF(COUNTA(A526:C526)&lt;3,"⚠未入力",IF(OR(A526&lt;設定!$C$8,A526&gt;設定!$C$9),"⚠期間外",IF(COUNTIF(設定!$B$15:$B$29,B526)=0,"⚠項目不明",""))))</f>
        <v/>
      </c>
    </row>
    <row r="527" customFormat="false" ht="15" hidden="false" customHeight="false" outlineLevel="0" collapsed="false">
      <c r="A527" s="30"/>
      <c r="B527" s="31"/>
      <c r="C527" s="32"/>
      <c r="D527" s="31"/>
      <c r="E527" s="33" t="str">
        <f aca="false">IF(COUNTA(A527:D527)=0,"",IF(COUNTA(A527:C527)&lt;3,"⚠未入力",IF(OR(A527&lt;設定!$C$8,A527&gt;設定!$C$9),"⚠期間外",IF(COUNTIF(設定!$B$15:$B$29,B527)=0,"⚠項目不明",""))))</f>
        <v/>
      </c>
    </row>
    <row r="528" customFormat="false" ht="15" hidden="false" customHeight="false" outlineLevel="0" collapsed="false">
      <c r="A528" s="30"/>
      <c r="B528" s="31"/>
      <c r="C528" s="32"/>
      <c r="D528" s="31"/>
      <c r="E528" s="33" t="str">
        <f aca="false">IF(COUNTA(A528:D528)=0,"",IF(COUNTA(A528:C528)&lt;3,"⚠未入力",IF(OR(A528&lt;設定!$C$8,A528&gt;設定!$C$9),"⚠期間外",IF(COUNTIF(設定!$B$15:$B$29,B528)=0,"⚠項目不明",""))))</f>
        <v/>
      </c>
    </row>
    <row r="529" customFormat="false" ht="15" hidden="false" customHeight="false" outlineLevel="0" collapsed="false">
      <c r="A529" s="30"/>
      <c r="B529" s="31"/>
      <c r="C529" s="32"/>
      <c r="D529" s="31"/>
      <c r="E529" s="33" t="str">
        <f aca="false">IF(COUNTA(A529:D529)=0,"",IF(COUNTA(A529:C529)&lt;3,"⚠未入力",IF(OR(A529&lt;設定!$C$8,A529&gt;設定!$C$9),"⚠期間外",IF(COUNTIF(設定!$B$15:$B$29,B529)=0,"⚠項目不明",""))))</f>
        <v/>
      </c>
    </row>
    <row r="530" customFormat="false" ht="15" hidden="false" customHeight="false" outlineLevel="0" collapsed="false">
      <c r="A530" s="30"/>
      <c r="B530" s="31"/>
      <c r="C530" s="32"/>
      <c r="D530" s="31"/>
      <c r="E530" s="33" t="str">
        <f aca="false">IF(COUNTA(A530:D530)=0,"",IF(COUNTA(A530:C530)&lt;3,"⚠未入力",IF(OR(A530&lt;設定!$C$8,A530&gt;設定!$C$9),"⚠期間外",IF(COUNTIF(設定!$B$15:$B$29,B530)=0,"⚠項目不明",""))))</f>
        <v/>
      </c>
    </row>
    <row r="531" customFormat="false" ht="15" hidden="false" customHeight="false" outlineLevel="0" collapsed="false">
      <c r="A531" s="30"/>
      <c r="B531" s="31"/>
      <c r="C531" s="32"/>
      <c r="D531" s="31"/>
      <c r="E531" s="33" t="str">
        <f aca="false">IF(COUNTA(A531:D531)=0,"",IF(COUNTA(A531:C531)&lt;3,"⚠未入力",IF(OR(A531&lt;設定!$C$8,A531&gt;設定!$C$9),"⚠期間外",IF(COUNTIF(設定!$B$15:$B$29,B531)=0,"⚠項目不明",""))))</f>
        <v/>
      </c>
    </row>
    <row r="532" customFormat="false" ht="15" hidden="false" customHeight="false" outlineLevel="0" collapsed="false">
      <c r="A532" s="30"/>
      <c r="B532" s="31"/>
      <c r="C532" s="32"/>
      <c r="D532" s="31"/>
      <c r="E532" s="33" t="str">
        <f aca="false">IF(COUNTA(A532:D532)=0,"",IF(COUNTA(A532:C532)&lt;3,"⚠未入力",IF(OR(A532&lt;設定!$C$8,A532&gt;設定!$C$9),"⚠期間外",IF(COUNTIF(設定!$B$15:$B$29,B532)=0,"⚠項目不明",""))))</f>
        <v/>
      </c>
    </row>
    <row r="533" customFormat="false" ht="15" hidden="false" customHeight="false" outlineLevel="0" collapsed="false">
      <c r="A533" s="30"/>
      <c r="B533" s="31"/>
      <c r="C533" s="32"/>
      <c r="D533" s="31"/>
      <c r="E533" s="33" t="str">
        <f aca="false">IF(COUNTA(A533:D533)=0,"",IF(COUNTA(A533:C533)&lt;3,"⚠未入力",IF(OR(A533&lt;設定!$C$8,A533&gt;設定!$C$9),"⚠期間外",IF(COUNTIF(設定!$B$15:$B$29,B533)=0,"⚠項目不明",""))))</f>
        <v/>
      </c>
    </row>
    <row r="534" customFormat="false" ht="15" hidden="false" customHeight="false" outlineLevel="0" collapsed="false">
      <c r="A534" s="30"/>
      <c r="B534" s="31"/>
      <c r="C534" s="32"/>
      <c r="D534" s="31"/>
      <c r="E534" s="33" t="str">
        <f aca="false">IF(COUNTA(A534:D534)=0,"",IF(COUNTA(A534:C534)&lt;3,"⚠未入力",IF(OR(A534&lt;設定!$C$8,A534&gt;設定!$C$9),"⚠期間外",IF(COUNTIF(設定!$B$15:$B$29,B534)=0,"⚠項目不明",""))))</f>
        <v/>
      </c>
    </row>
    <row r="535" customFormat="false" ht="15" hidden="false" customHeight="false" outlineLevel="0" collapsed="false">
      <c r="A535" s="30"/>
      <c r="B535" s="31"/>
      <c r="C535" s="32"/>
      <c r="D535" s="31"/>
      <c r="E535" s="33" t="str">
        <f aca="false">IF(COUNTA(A535:D535)=0,"",IF(COUNTA(A535:C535)&lt;3,"⚠未入力",IF(OR(A535&lt;設定!$C$8,A535&gt;設定!$C$9),"⚠期間外",IF(COUNTIF(設定!$B$15:$B$29,B535)=0,"⚠項目不明",""))))</f>
        <v/>
      </c>
    </row>
    <row r="536" customFormat="false" ht="15" hidden="false" customHeight="false" outlineLevel="0" collapsed="false">
      <c r="A536" s="30"/>
      <c r="B536" s="31"/>
      <c r="C536" s="32"/>
      <c r="D536" s="31"/>
      <c r="E536" s="33" t="str">
        <f aca="false">IF(COUNTA(A536:D536)=0,"",IF(COUNTA(A536:C536)&lt;3,"⚠未入力",IF(OR(A536&lt;設定!$C$8,A536&gt;設定!$C$9),"⚠期間外",IF(COUNTIF(設定!$B$15:$B$29,B536)=0,"⚠項目不明",""))))</f>
        <v/>
      </c>
    </row>
    <row r="537" customFormat="false" ht="15" hidden="false" customHeight="false" outlineLevel="0" collapsed="false">
      <c r="A537" s="30"/>
      <c r="B537" s="31"/>
      <c r="C537" s="32"/>
      <c r="D537" s="31"/>
      <c r="E537" s="33" t="str">
        <f aca="false">IF(COUNTA(A537:D537)=0,"",IF(COUNTA(A537:C537)&lt;3,"⚠未入力",IF(OR(A537&lt;設定!$C$8,A537&gt;設定!$C$9),"⚠期間外",IF(COUNTIF(設定!$B$15:$B$29,B537)=0,"⚠項目不明",""))))</f>
        <v/>
      </c>
    </row>
    <row r="538" customFormat="false" ht="15" hidden="false" customHeight="false" outlineLevel="0" collapsed="false">
      <c r="A538" s="30"/>
      <c r="B538" s="31"/>
      <c r="C538" s="32"/>
      <c r="D538" s="31"/>
      <c r="E538" s="33" t="str">
        <f aca="false">IF(COUNTA(A538:D538)=0,"",IF(COUNTA(A538:C538)&lt;3,"⚠未入力",IF(OR(A538&lt;設定!$C$8,A538&gt;設定!$C$9),"⚠期間外",IF(COUNTIF(設定!$B$15:$B$29,B538)=0,"⚠項目不明",""))))</f>
        <v/>
      </c>
    </row>
    <row r="539" customFormat="false" ht="15" hidden="false" customHeight="false" outlineLevel="0" collapsed="false">
      <c r="A539" s="30"/>
      <c r="B539" s="31"/>
      <c r="C539" s="32"/>
      <c r="D539" s="31"/>
      <c r="E539" s="33" t="str">
        <f aca="false">IF(COUNTA(A539:D539)=0,"",IF(COUNTA(A539:C539)&lt;3,"⚠未入力",IF(OR(A539&lt;設定!$C$8,A539&gt;設定!$C$9),"⚠期間外",IF(COUNTIF(設定!$B$15:$B$29,B539)=0,"⚠項目不明",""))))</f>
        <v/>
      </c>
    </row>
    <row r="540" customFormat="false" ht="15" hidden="false" customHeight="false" outlineLevel="0" collapsed="false">
      <c r="A540" s="30"/>
      <c r="B540" s="31"/>
      <c r="C540" s="32"/>
      <c r="D540" s="31"/>
      <c r="E540" s="33" t="str">
        <f aca="false">IF(COUNTA(A540:D540)=0,"",IF(COUNTA(A540:C540)&lt;3,"⚠未入力",IF(OR(A540&lt;設定!$C$8,A540&gt;設定!$C$9),"⚠期間外",IF(COUNTIF(設定!$B$15:$B$29,B540)=0,"⚠項目不明",""))))</f>
        <v/>
      </c>
    </row>
    <row r="541" customFormat="false" ht="15" hidden="false" customHeight="false" outlineLevel="0" collapsed="false">
      <c r="A541" s="30"/>
      <c r="B541" s="31"/>
      <c r="C541" s="32"/>
      <c r="D541" s="31"/>
      <c r="E541" s="33" t="str">
        <f aca="false">IF(COUNTA(A541:D541)=0,"",IF(COUNTA(A541:C541)&lt;3,"⚠未入力",IF(OR(A541&lt;設定!$C$8,A541&gt;設定!$C$9),"⚠期間外",IF(COUNTIF(設定!$B$15:$B$29,B541)=0,"⚠項目不明",""))))</f>
        <v/>
      </c>
    </row>
    <row r="542" customFormat="false" ht="15" hidden="false" customHeight="false" outlineLevel="0" collapsed="false">
      <c r="A542" s="30"/>
      <c r="B542" s="31"/>
      <c r="C542" s="32"/>
      <c r="D542" s="31"/>
      <c r="E542" s="33" t="str">
        <f aca="false">IF(COUNTA(A542:D542)=0,"",IF(COUNTA(A542:C542)&lt;3,"⚠未入力",IF(OR(A542&lt;設定!$C$8,A542&gt;設定!$C$9),"⚠期間外",IF(COUNTIF(設定!$B$15:$B$29,B542)=0,"⚠項目不明",""))))</f>
        <v/>
      </c>
    </row>
    <row r="543" customFormat="false" ht="15" hidden="false" customHeight="false" outlineLevel="0" collapsed="false">
      <c r="A543" s="30"/>
      <c r="B543" s="31"/>
      <c r="C543" s="32"/>
      <c r="D543" s="31"/>
      <c r="E543" s="33" t="str">
        <f aca="false">IF(COUNTA(A543:D543)=0,"",IF(COUNTA(A543:C543)&lt;3,"⚠未入力",IF(OR(A543&lt;設定!$C$8,A543&gt;設定!$C$9),"⚠期間外",IF(COUNTIF(設定!$B$15:$B$29,B543)=0,"⚠項目不明",""))))</f>
        <v/>
      </c>
    </row>
    <row r="544" customFormat="false" ht="15" hidden="false" customHeight="false" outlineLevel="0" collapsed="false">
      <c r="A544" s="30"/>
      <c r="B544" s="31"/>
      <c r="C544" s="32"/>
      <c r="D544" s="31"/>
      <c r="E544" s="33" t="str">
        <f aca="false">IF(COUNTA(A544:D544)=0,"",IF(COUNTA(A544:C544)&lt;3,"⚠未入力",IF(OR(A544&lt;設定!$C$8,A544&gt;設定!$C$9),"⚠期間外",IF(COUNTIF(設定!$B$15:$B$29,B544)=0,"⚠項目不明",""))))</f>
        <v/>
      </c>
    </row>
    <row r="545" customFormat="false" ht="15" hidden="false" customHeight="false" outlineLevel="0" collapsed="false">
      <c r="A545" s="30"/>
      <c r="B545" s="31"/>
      <c r="C545" s="32"/>
      <c r="D545" s="31"/>
      <c r="E545" s="33" t="str">
        <f aca="false">IF(COUNTA(A545:D545)=0,"",IF(COUNTA(A545:C545)&lt;3,"⚠未入力",IF(OR(A545&lt;設定!$C$8,A545&gt;設定!$C$9),"⚠期間外",IF(COUNTIF(設定!$B$15:$B$29,B545)=0,"⚠項目不明",""))))</f>
        <v/>
      </c>
    </row>
    <row r="546" customFormat="false" ht="15" hidden="false" customHeight="false" outlineLevel="0" collapsed="false">
      <c r="A546" s="30"/>
      <c r="B546" s="31"/>
      <c r="C546" s="32"/>
      <c r="D546" s="31"/>
      <c r="E546" s="33" t="str">
        <f aca="false">IF(COUNTA(A546:D546)=0,"",IF(COUNTA(A546:C546)&lt;3,"⚠未入力",IF(OR(A546&lt;設定!$C$8,A546&gt;設定!$C$9),"⚠期間外",IF(COUNTIF(設定!$B$15:$B$29,B546)=0,"⚠項目不明",""))))</f>
        <v/>
      </c>
    </row>
    <row r="547" customFormat="false" ht="15" hidden="false" customHeight="false" outlineLevel="0" collapsed="false">
      <c r="A547" s="30"/>
      <c r="B547" s="31"/>
      <c r="C547" s="32"/>
      <c r="D547" s="31"/>
      <c r="E547" s="33" t="str">
        <f aca="false">IF(COUNTA(A547:D547)=0,"",IF(COUNTA(A547:C547)&lt;3,"⚠未入力",IF(OR(A547&lt;設定!$C$8,A547&gt;設定!$C$9),"⚠期間外",IF(COUNTIF(設定!$B$15:$B$29,B547)=0,"⚠項目不明",""))))</f>
        <v/>
      </c>
    </row>
    <row r="548" customFormat="false" ht="15" hidden="false" customHeight="false" outlineLevel="0" collapsed="false">
      <c r="A548" s="30"/>
      <c r="B548" s="31"/>
      <c r="C548" s="32"/>
      <c r="D548" s="31"/>
      <c r="E548" s="33" t="str">
        <f aca="false">IF(COUNTA(A548:D548)=0,"",IF(COUNTA(A548:C548)&lt;3,"⚠未入力",IF(OR(A548&lt;設定!$C$8,A548&gt;設定!$C$9),"⚠期間外",IF(COUNTIF(設定!$B$15:$B$29,B548)=0,"⚠項目不明",""))))</f>
        <v/>
      </c>
    </row>
    <row r="549" customFormat="false" ht="15" hidden="false" customHeight="false" outlineLevel="0" collapsed="false">
      <c r="A549" s="30"/>
      <c r="B549" s="31"/>
      <c r="C549" s="32"/>
      <c r="D549" s="31"/>
      <c r="E549" s="33" t="str">
        <f aca="false">IF(COUNTA(A549:D549)=0,"",IF(COUNTA(A549:C549)&lt;3,"⚠未入力",IF(OR(A549&lt;設定!$C$8,A549&gt;設定!$C$9),"⚠期間外",IF(COUNTIF(設定!$B$15:$B$29,B549)=0,"⚠項目不明",""))))</f>
        <v/>
      </c>
    </row>
    <row r="550" customFormat="false" ht="15" hidden="false" customHeight="false" outlineLevel="0" collapsed="false">
      <c r="A550" s="30"/>
      <c r="B550" s="31"/>
      <c r="C550" s="32"/>
      <c r="D550" s="31"/>
      <c r="E550" s="33" t="str">
        <f aca="false">IF(COUNTA(A550:D550)=0,"",IF(COUNTA(A550:C550)&lt;3,"⚠未入力",IF(OR(A550&lt;設定!$C$8,A550&gt;設定!$C$9),"⚠期間外",IF(COUNTIF(設定!$B$15:$B$29,B550)=0,"⚠項目不明",""))))</f>
        <v/>
      </c>
    </row>
    <row r="551" customFormat="false" ht="15" hidden="false" customHeight="false" outlineLevel="0" collapsed="false">
      <c r="A551" s="30"/>
      <c r="B551" s="31"/>
      <c r="C551" s="32"/>
      <c r="D551" s="31"/>
      <c r="E551" s="33" t="str">
        <f aca="false">IF(COUNTA(A551:D551)=0,"",IF(COUNTA(A551:C551)&lt;3,"⚠未入力",IF(OR(A551&lt;設定!$C$8,A551&gt;設定!$C$9),"⚠期間外",IF(COUNTIF(設定!$B$15:$B$29,B551)=0,"⚠項目不明",""))))</f>
        <v/>
      </c>
    </row>
    <row r="552" customFormat="false" ht="15" hidden="false" customHeight="false" outlineLevel="0" collapsed="false">
      <c r="A552" s="30"/>
      <c r="B552" s="31"/>
      <c r="C552" s="32"/>
      <c r="D552" s="31"/>
      <c r="E552" s="33" t="str">
        <f aca="false">IF(COUNTA(A552:D552)=0,"",IF(COUNTA(A552:C552)&lt;3,"⚠未入力",IF(OR(A552&lt;設定!$C$8,A552&gt;設定!$C$9),"⚠期間外",IF(COUNTIF(設定!$B$15:$B$29,B552)=0,"⚠項目不明",""))))</f>
        <v/>
      </c>
    </row>
    <row r="553" customFormat="false" ht="15" hidden="false" customHeight="false" outlineLevel="0" collapsed="false">
      <c r="A553" s="30"/>
      <c r="B553" s="31"/>
      <c r="C553" s="32"/>
      <c r="D553" s="31"/>
      <c r="E553" s="33" t="str">
        <f aca="false">IF(COUNTA(A553:D553)=0,"",IF(COUNTA(A553:C553)&lt;3,"⚠未入力",IF(OR(A553&lt;設定!$C$8,A553&gt;設定!$C$9),"⚠期間外",IF(COUNTIF(設定!$B$15:$B$29,B553)=0,"⚠項目不明",""))))</f>
        <v/>
      </c>
    </row>
    <row r="554" customFormat="false" ht="15" hidden="false" customHeight="false" outlineLevel="0" collapsed="false">
      <c r="A554" s="30"/>
      <c r="B554" s="31"/>
      <c r="C554" s="32"/>
      <c r="D554" s="31"/>
      <c r="E554" s="33" t="str">
        <f aca="false">IF(COUNTA(A554:D554)=0,"",IF(COUNTA(A554:C554)&lt;3,"⚠未入力",IF(OR(A554&lt;設定!$C$8,A554&gt;設定!$C$9),"⚠期間外",IF(COUNTIF(設定!$B$15:$B$29,B554)=0,"⚠項目不明",""))))</f>
        <v/>
      </c>
    </row>
    <row r="555" customFormat="false" ht="15" hidden="false" customHeight="false" outlineLevel="0" collapsed="false">
      <c r="A555" s="30"/>
      <c r="B555" s="31"/>
      <c r="C555" s="32"/>
      <c r="D555" s="31"/>
      <c r="E555" s="33" t="str">
        <f aca="false">IF(COUNTA(A555:D555)=0,"",IF(COUNTA(A555:C555)&lt;3,"⚠未入力",IF(OR(A555&lt;設定!$C$8,A555&gt;設定!$C$9),"⚠期間外",IF(COUNTIF(設定!$B$15:$B$29,B555)=0,"⚠項目不明",""))))</f>
        <v/>
      </c>
    </row>
    <row r="556" customFormat="false" ht="15" hidden="false" customHeight="false" outlineLevel="0" collapsed="false">
      <c r="A556" s="30"/>
      <c r="B556" s="31"/>
      <c r="C556" s="32"/>
      <c r="D556" s="31"/>
      <c r="E556" s="33" t="str">
        <f aca="false">IF(COUNTA(A556:D556)=0,"",IF(COUNTA(A556:C556)&lt;3,"⚠未入力",IF(OR(A556&lt;設定!$C$8,A556&gt;設定!$C$9),"⚠期間外",IF(COUNTIF(設定!$B$15:$B$29,B556)=0,"⚠項目不明",""))))</f>
        <v/>
      </c>
    </row>
    <row r="557" customFormat="false" ht="15" hidden="false" customHeight="false" outlineLevel="0" collapsed="false">
      <c r="A557" s="30"/>
      <c r="B557" s="31"/>
      <c r="C557" s="32"/>
      <c r="D557" s="31"/>
      <c r="E557" s="33" t="str">
        <f aca="false">IF(COUNTA(A557:D557)=0,"",IF(COUNTA(A557:C557)&lt;3,"⚠未入力",IF(OR(A557&lt;設定!$C$8,A557&gt;設定!$C$9),"⚠期間外",IF(COUNTIF(設定!$B$15:$B$29,B557)=0,"⚠項目不明",""))))</f>
        <v/>
      </c>
    </row>
    <row r="558" customFormat="false" ht="15" hidden="false" customHeight="false" outlineLevel="0" collapsed="false">
      <c r="A558" s="30"/>
      <c r="B558" s="31"/>
      <c r="C558" s="32"/>
      <c r="D558" s="31"/>
      <c r="E558" s="33" t="str">
        <f aca="false">IF(COUNTA(A558:D558)=0,"",IF(COUNTA(A558:C558)&lt;3,"⚠未入力",IF(OR(A558&lt;設定!$C$8,A558&gt;設定!$C$9),"⚠期間外",IF(COUNTIF(設定!$B$15:$B$29,B558)=0,"⚠項目不明",""))))</f>
        <v/>
      </c>
    </row>
    <row r="559" customFormat="false" ht="15" hidden="false" customHeight="false" outlineLevel="0" collapsed="false">
      <c r="A559" s="30"/>
      <c r="B559" s="31"/>
      <c r="C559" s="32"/>
      <c r="D559" s="31"/>
      <c r="E559" s="33" t="str">
        <f aca="false">IF(COUNTA(A559:D559)=0,"",IF(COUNTA(A559:C559)&lt;3,"⚠未入力",IF(OR(A559&lt;設定!$C$8,A559&gt;設定!$C$9),"⚠期間外",IF(COUNTIF(設定!$B$15:$B$29,B559)=0,"⚠項目不明",""))))</f>
        <v/>
      </c>
    </row>
    <row r="560" customFormat="false" ht="15" hidden="false" customHeight="false" outlineLevel="0" collapsed="false">
      <c r="A560" s="30"/>
      <c r="B560" s="31"/>
      <c r="C560" s="32"/>
      <c r="D560" s="31"/>
      <c r="E560" s="33" t="str">
        <f aca="false">IF(COUNTA(A560:D560)=0,"",IF(COUNTA(A560:C560)&lt;3,"⚠未入力",IF(OR(A560&lt;設定!$C$8,A560&gt;設定!$C$9),"⚠期間外",IF(COUNTIF(設定!$B$15:$B$29,B560)=0,"⚠項目不明",""))))</f>
        <v/>
      </c>
    </row>
    <row r="561" customFormat="false" ht="15" hidden="false" customHeight="false" outlineLevel="0" collapsed="false">
      <c r="A561" s="30"/>
      <c r="B561" s="31"/>
      <c r="C561" s="32"/>
      <c r="D561" s="31"/>
      <c r="E561" s="33" t="str">
        <f aca="false">IF(COUNTA(A561:D561)=0,"",IF(COUNTA(A561:C561)&lt;3,"⚠未入力",IF(OR(A561&lt;設定!$C$8,A561&gt;設定!$C$9),"⚠期間外",IF(COUNTIF(設定!$B$15:$B$29,B561)=0,"⚠項目不明",""))))</f>
        <v/>
      </c>
    </row>
    <row r="562" customFormat="false" ht="15" hidden="false" customHeight="false" outlineLevel="0" collapsed="false">
      <c r="A562" s="30"/>
      <c r="B562" s="31"/>
      <c r="C562" s="32"/>
      <c r="D562" s="31"/>
      <c r="E562" s="33" t="str">
        <f aca="false">IF(COUNTA(A562:D562)=0,"",IF(COUNTA(A562:C562)&lt;3,"⚠未入力",IF(OR(A562&lt;設定!$C$8,A562&gt;設定!$C$9),"⚠期間外",IF(COUNTIF(設定!$B$15:$B$29,B562)=0,"⚠項目不明",""))))</f>
        <v/>
      </c>
    </row>
    <row r="563" customFormat="false" ht="15" hidden="false" customHeight="false" outlineLevel="0" collapsed="false">
      <c r="A563" s="30"/>
      <c r="B563" s="31"/>
      <c r="C563" s="32"/>
      <c r="D563" s="31"/>
      <c r="E563" s="33" t="str">
        <f aca="false">IF(COUNTA(A563:D563)=0,"",IF(COUNTA(A563:C563)&lt;3,"⚠未入力",IF(OR(A563&lt;設定!$C$8,A563&gt;設定!$C$9),"⚠期間外",IF(COUNTIF(設定!$B$15:$B$29,B563)=0,"⚠項目不明",""))))</f>
        <v/>
      </c>
    </row>
    <row r="564" customFormat="false" ht="15" hidden="false" customHeight="false" outlineLevel="0" collapsed="false">
      <c r="A564" s="30"/>
      <c r="B564" s="31"/>
      <c r="C564" s="32"/>
      <c r="D564" s="31"/>
      <c r="E564" s="33" t="str">
        <f aca="false">IF(COUNTA(A564:D564)=0,"",IF(COUNTA(A564:C564)&lt;3,"⚠未入力",IF(OR(A564&lt;設定!$C$8,A564&gt;設定!$C$9),"⚠期間外",IF(COUNTIF(設定!$B$15:$B$29,B564)=0,"⚠項目不明",""))))</f>
        <v/>
      </c>
    </row>
    <row r="565" customFormat="false" ht="15" hidden="false" customHeight="false" outlineLevel="0" collapsed="false">
      <c r="A565" s="30"/>
      <c r="B565" s="31"/>
      <c r="C565" s="32"/>
      <c r="D565" s="31"/>
      <c r="E565" s="33" t="str">
        <f aca="false">IF(COUNTA(A565:D565)=0,"",IF(COUNTA(A565:C565)&lt;3,"⚠未入力",IF(OR(A565&lt;設定!$C$8,A565&gt;設定!$C$9),"⚠期間外",IF(COUNTIF(設定!$B$15:$B$29,B565)=0,"⚠項目不明",""))))</f>
        <v/>
      </c>
    </row>
    <row r="566" customFormat="false" ht="15" hidden="false" customHeight="false" outlineLevel="0" collapsed="false">
      <c r="A566" s="30"/>
      <c r="B566" s="31"/>
      <c r="C566" s="32"/>
      <c r="D566" s="31"/>
      <c r="E566" s="33" t="str">
        <f aca="false">IF(COUNTA(A566:D566)=0,"",IF(COUNTA(A566:C566)&lt;3,"⚠未入力",IF(OR(A566&lt;設定!$C$8,A566&gt;設定!$C$9),"⚠期間外",IF(COUNTIF(設定!$B$15:$B$29,B566)=0,"⚠項目不明",""))))</f>
        <v/>
      </c>
    </row>
    <row r="567" customFormat="false" ht="15" hidden="false" customHeight="false" outlineLevel="0" collapsed="false">
      <c r="A567" s="30"/>
      <c r="B567" s="31"/>
      <c r="C567" s="32"/>
      <c r="D567" s="31"/>
      <c r="E567" s="33" t="str">
        <f aca="false">IF(COUNTA(A567:D567)=0,"",IF(COUNTA(A567:C567)&lt;3,"⚠未入力",IF(OR(A567&lt;設定!$C$8,A567&gt;設定!$C$9),"⚠期間外",IF(COUNTIF(設定!$B$15:$B$29,B567)=0,"⚠項目不明",""))))</f>
        <v/>
      </c>
    </row>
    <row r="568" customFormat="false" ht="15" hidden="false" customHeight="false" outlineLevel="0" collapsed="false">
      <c r="A568" s="30"/>
      <c r="B568" s="31"/>
      <c r="C568" s="32"/>
      <c r="D568" s="31"/>
      <c r="E568" s="33" t="str">
        <f aca="false">IF(COUNTA(A568:D568)=0,"",IF(COUNTA(A568:C568)&lt;3,"⚠未入力",IF(OR(A568&lt;設定!$C$8,A568&gt;設定!$C$9),"⚠期間外",IF(COUNTIF(設定!$B$15:$B$29,B568)=0,"⚠項目不明",""))))</f>
        <v/>
      </c>
    </row>
    <row r="569" customFormat="false" ht="15" hidden="false" customHeight="false" outlineLevel="0" collapsed="false">
      <c r="A569" s="30"/>
      <c r="B569" s="31"/>
      <c r="C569" s="32"/>
      <c r="D569" s="31"/>
      <c r="E569" s="33" t="str">
        <f aca="false">IF(COUNTA(A569:D569)=0,"",IF(COUNTA(A569:C569)&lt;3,"⚠未入力",IF(OR(A569&lt;設定!$C$8,A569&gt;設定!$C$9),"⚠期間外",IF(COUNTIF(設定!$B$15:$B$29,B569)=0,"⚠項目不明",""))))</f>
        <v/>
      </c>
    </row>
    <row r="570" customFormat="false" ht="15" hidden="false" customHeight="false" outlineLevel="0" collapsed="false">
      <c r="A570" s="30"/>
      <c r="B570" s="31"/>
      <c r="C570" s="32"/>
      <c r="D570" s="31"/>
      <c r="E570" s="33" t="str">
        <f aca="false">IF(COUNTA(A570:D570)=0,"",IF(COUNTA(A570:C570)&lt;3,"⚠未入力",IF(OR(A570&lt;設定!$C$8,A570&gt;設定!$C$9),"⚠期間外",IF(COUNTIF(設定!$B$15:$B$29,B570)=0,"⚠項目不明",""))))</f>
        <v/>
      </c>
    </row>
    <row r="571" customFormat="false" ht="15" hidden="false" customHeight="false" outlineLevel="0" collapsed="false">
      <c r="A571" s="30"/>
      <c r="B571" s="31"/>
      <c r="C571" s="32"/>
      <c r="D571" s="31"/>
      <c r="E571" s="33" t="str">
        <f aca="false">IF(COUNTA(A571:D571)=0,"",IF(COUNTA(A571:C571)&lt;3,"⚠未入力",IF(OR(A571&lt;設定!$C$8,A571&gt;設定!$C$9),"⚠期間外",IF(COUNTIF(設定!$B$15:$B$29,B571)=0,"⚠項目不明",""))))</f>
        <v/>
      </c>
    </row>
    <row r="572" customFormat="false" ht="15" hidden="false" customHeight="false" outlineLevel="0" collapsed="false">
      <c r="A572" s="30"/>
      <c r="B572" s="31"/>
      <c r="C572" s="32"/>
      <c r="D572" s="31"/>
      <c r="E572" s="33" t="str">
        <f aca="false">IF(COUNTA(A572:D572)=0,"",IF(COUNTA(A572:C572)&lt;3,"⚠未入力",IF(OR(A572&lt;設定!$C$8,A572&gt;設定!$C$9),"⚠期間外",IF(COUNTIF(設定!$B$15:$B$29,B572)=0,"⚠項目不明",""))))</f>
        <v/>
      </c>
    </row>
    <row r="573" customFormat="false" ht="15" hidden="false" customHeight="false" outlineLevel="0" collapsed="false">
      <c r="A573" s="30"/>
      <c r="B573" s="31"/>
      <c r="C573" s="32"/>
      <c r="D573" s="31"/>
      <c r="E573" s="33" t="str">
        <f aca="false">IF(COUNTA(A573:D573)=0,"",IF(COUNTA(A573:C573)&lt;3,"⚠未入力",IF(OR(A573&lt;設定!$C$8,A573&gt;設定!$C$9),"⚠期間外",IF(COUNTIF(設定!$B$15:$B$29,B573)=0,"⚠項目不明",""))))</f>
        <v/>
      </c>
    </row>
    <row r="574" customFormat="false" ht="15" hidden="false" customHeight="false" outlineLevel="0" collapsed="false">
      <c r="A574" s="30"/>
      <c r="B574" s="31"/>
      <c r="C574" s="32"/>
      <c r="D574" s="31"/>
      <c r="E574" s="33" t="str">
        <f aca="false">IF(COUNTA(A574:D574)=0,"",IF(COUNTA(A574:C574)&lt;3,"⚠未入力",IF(OR(A574&lt;設定!$C$8,A574&gt;設定!$C$9),"⚠期間外",IF(COUNTIF(設定!$B$15:$B$29,B574)=0,"⚠項目不明",""))))</f>
        <v/>
      </c>
    </row>
    <row r="575" customFormat="false" ht="15" hidden="false" customHeight="false" outlineLevel="0" collapsed="false">
      <c r="A575" s="30"/>
      <c r="B575" s="31"/>
      <c r="C575" s="32"/>
      <c r="D575" s="31"/>
      <c r="E575" s="33" t="str">
        <f aca="false">IF(COUNTA(A575:D575)=0,"",IF(COUNTA(A575:C575)&lt;3,"⚠未入力",IF(OR(A575&lt;設定!$C$8,A575&gt;設定!$C$9),"⚠期間外",IF(COUNTIF(設定!$B$15:$B$29,B575)=0,"⚠項目不明",""))))</f>
        <v/>
      </c>
    </row>
    <row r="576" customFormat="false" ht="15" hidden="false" customHeight="false" outlineLevel="0" collapsed="false">
      <c r="A576" s="30"/>
      <c r="B576" s="31"/>
      <c r="C576" s="32"/>
      <c r="D576" s="31"/>
      <c r="E576" s="33" t="str">
        <f aca="false">IF(COUNTA(A576:D576)=0,"",IF(COUNTA(A576:C576)&lt;3,"⚠未入力",IF(OR(A576&lt;設定!$C$8,A576&gt;設定!$C$9),"⚠期間外",IF(COUNTIF(設定!$B$15:$B$29,B576)=0,"⚠項目不明",""))))</f>
        <v/>
      </c>
    </row>
    <row r="577" customFormat="false" ht="15" hidden="false" customHeight="false" outlineLevel="0" collapsed="false">
      <c r="A577" s="30"/>
      <c r="B577" s="31"/>
      <c r="C577" s="32"/>
      <c r="D577" s="31"/>
      <c r="E577" s="33" t="str">
        <f aca="false">IF(COUNTA(A577:D577)=0,"",IF(COUNTA(A577:C577)&lt;3,"⚠未入力",IF(OR(A577&lt;設定!$C$8,A577&gt;設定!$C$9),"⚠期間外",IF(COUNTIF(設定!$B$15:$B$29,B577)=0,"⚠項目不明",""))))</f>
        <v/>
      </c>
    </row>
    <row r="578" customFormat="false" ht="15" hidden="false" customHeight="false" outlineLevel="0" collapsed="false">
      <c r="A578" s="30"/>
      <c r="B578" s="31"/>
      <c r="C578" s="32"/>
      <c r="D578" s="31"/>
      <c r="E578" s="33" t="str">
        <f aca="false">IF(COUNTA(A578:D578)=0,"",IF(COUNTA(A578:C578)&lt;3,"⚠未入力",IF(OR(A578&lt;設定!$C$8,A578&gt;設定!$C$9),"⚠期間外",IF(COUNTIF(設定!$B$15:$B$29,B578)=0,"⚠項目不明",""))))</f>
        <v/>
      </c>
    </row>
    <row r="579" customFormat="false" ht="15" hidden="false" customHeight="false" outlineLevel="0" collapsed="false">
      <c r="A579" s="30"/>
      <c r="B579" s="31"/>
      <c r="C579" s="32"/>
      <c r="D579" s="31"/>
      <c r="E579" s="33" t="str">
        <f aca="false">IF(COUNTA(A579:D579)=0,"",IF(COUNTA(A579:C579)&lt;3,"⚠未入力",IF(OR(A579&lt;設定!$C$8,A579&gt;設定!$C$9),"⚠期間外",IF(COUNTIF(設定!$B$15:$B$29,B579)=0,"⚠項目不明",""))))</f>
        <v/>
      </c>
    </row>
    <row r="580" customFormat="false" ht="15" hidden="false" customHeight="false" outlineLevel="0" collapsed="false">
      <c r="A580" s="30"/>
      <c r="B580" s="31"/>
      <c r="C580" s="32"/>
      <c r="D580" s="31"/>
      <c r="E580" s="33" t="str">
        <f aca="false">IF(COUNTA(A580:D580)=0,"",IF(COUNTA(A580:C580)&lt;3,"⚠未入力",IF(OR(A580&lt;設定!$C$8,A580&gt;設定!$C$9),"⚠期間外",IF(COUNTIF(設定!$B$15:$B$29,B580)=0,"⚠項目不明",""))))</f>
        <v/>
      </c>
    </row>
    <row r="581" customFormat="false" ht="15" hidden="false" customHeight="false" outlineLevel="0" collapsed="false">
      <c r="A581" s="30"/>
      <c r="B581" s="31"/>
      <c r="C581" s="32"/>
      <c r="D581" s="31"/>
      <c r="E581" s="33" t="str">
        <f aca="false">IF(COUNTA(A581:D581)=0,"",IF(COUNTA(A581:C581)&lt;3,"⚠未入力",IF(OR(A581&lt;設定!$C$8,A581&gt;設定!$C$9),"⚠期間外",IF(COUNTIF(設定!$B$15:$B$29,B581)=0,"⚠項目不明",""))))</f>
        <v/>
      </c>
    </row>
    <row r="582" customFormat="false" ht="15" hidden="false" customHeight="false" outlineLevel="0" collapsed="false">
      <c r="A582" s="30"/>
      <c r="B582" s="31"/>
      <c r="C582" s="32"/>
      <c r="D582" s="31"/>
      <c r="E582" s="33" t="str">
        <f aca="false">IF(COUNTA(A582:D582)=0,"",IF(COUNTA(A582:C582)&lt;3,"⚠未入力",IF(OR(A582&lt;設定!$C$8,A582&gt;設定!$C$9),"⚠期間外",IF(COUNTIF(設定!$B$15:$B$29,B582)=0,"⚠項目不明",""))))</f>
        <v/>
      </c>
    </row>
    <row r="583" customFormat="false" ht="15" hidden="false" customHeight="false" outlineLevel="0" collapsed="false">
      <c r="A583" s="30"/>
      <c r="B583" s="31"/>
      <c r="C583" s="32"/>
      <c r="D583" s="31"/>
      <c r="E583" s="33" t="str">
        <f aca="false">IF(COUNTA(A583:D583)=0,"",IF(COUNTA(A583:C583)&lt;3,"⚠未入力",IF(OR(A583&lt;設定!$C$8,A583&gt;設定!$C$9),"⚠期間外",IF(COUNTIF(設定!$B$15:$B$29,B583)=0,"⚠項目不明",""))))</f>
        <v/>
      </c>
    </row>
    <row r="584" customFormat="false" ht="15" hidden="false" customHeight="false" outlineLevel="0" collapsed="false">
      <c r="A584" s="30"/>
      <c r="B584" s="31"/>
      <c r="C584" s="32"/>
      <c r="D584" s="31"/>
      <c r="E584" s="33" t="str">
        <f aca="false">IF(COUNTA(A584:D584)=0,"",IF(COUNTA(A584:C584)&lt;3,"⚠未入力",IF(OR(A584&lt;設定!$C$8,A584&gt;設定!$C$9),"⚠期間外",IF(COUNTIF(設定!$B$15:$B$29,B584)=0,"⚠項目不明",""))))</f>
        <v/>
      </c>
    </row>
    <row r="585" customFormat="false" ht="15" hidden="false" customHeight="false" outlineLevel="0" collapsed="false">
      <c r="A585" s="30"/>
      <c r="B585" s="31"/>
      <c r="C585" s="32"/>
      <c r="D585" s="31"/>
      <c r="E585" s="33" t="str">
        <f aca="false">IF(COUNTA(A585:D585)=0,"",IF(COUNTA(A585:C585)&lt;3,"⚠未入力",IF(OR(A585&lt;設定!$C$8,A585&gt;設定!$C$9),"⚠期間外",IF(COUNTIF(設定!$B$15:$B$29,B585)=0,"⚠項目不明",""))))</f>
        <v/>
      </c>
    </row>
    <row r="586" customFormat="false" ht="15" hidden="false" customHeight="false" outlineLevel="0" collapsed="false">
      <c r="A586" s="30"/>
      <c r="B586" s="31"/>
      <c r="C586" s="32"/>
      <c r="D586" s="31"/>
      <c r="E586" s="33" t="str">
        <f aca="false">IF(COUNTA(A586:D586)=0,"",IF(COUNTA(A586:C586)&lt;3,"⚠未入力",IF(OR(A586&lt;設定!$C$8,A586&gt;設定!$C$9),"⚠期間外",IF(COUNTIF(設定!$B$15:$B$29,B586)=0,"⚠項目不明",""))))</f>
        <v/>
      </c>
    </row>
    <row r="587" customFormat="false" ht="15" hidden="false" customHeight="false" outlineLevel="0" collapsed="false">
      <c r="A587" s="30"/>
      <c r="B587" s="31"/>
      <c r="C587" s="32"/>
      <c r="D587" s="31"/>
      <c r="E587" s="33" t="str">
        <f aca="false">IF(COUNTA(A587:D587)=0,"",IF(COUNTA(A587:C587)&lt;3,"⚠未入力",IF(OR(A587&lt;設定!$C$8,A587&gt;設定!$C$9),"⚠期間外",IF(COUNTIF(設定!$B$15:$B$29,B587)=0,"⚠項目不明",""))))</f>
        <v/>
      </c>
    </row>
    <row r="588" customFormat="false" ht="15" hidden="false" customHeight="false" outlineLevel="0" collapsed="false">
      <c r="A588" s="30"/>
      <c r="B588" s="31"/>
      <c r="C588" s="32"/>
      <c r="D588" s="31"/>
      <c r="E588" s="33" t="str">
        <f aca="false">IF(COUNTA(A588:D588)=0,"",IF(COUNTA(A588:C588)&lt;3,"⚠未入力",IF(OR(A588&lt;設定!$C$8,A588&gt;設定!$C$9),"⚠期間外",IF(COUNTIF(設定!$B$15:$B$29,B588)=0,"⚠項目不明",""))))</f>
        <v/>
      </c>
    </row>
    <row r="589" customFormat="false" ht="15" hidden="false" customHeight="false" outlineLevel="0" collapsed="false">
      <c r="A589" s="30"/>
      <c r="B589" s="31"/>
      <c r="C589" s="32"/>
      <c r="D589" s="31"/>
      <c r="E589" s="33" t="str">
        <f aca="false">IF(COUNTA(A589:D589)=0,"",IF(COUNTA(A589:C589)&lt;3,"⚠未入力",IF(OR(A589&lt;設定!$C$8,A589&gt;設定!$C$9),"⚠期間外",IF(COUNTIF(設定!$B$15:$B$29,B589)=0,"⚠項目不明",""))))</f>
        <v/>
      </c>
    </row>
    <row r="590" customFormat="false" ht="15" hidden="false" customHeight="false" outlineLevel="0" collapsed="false">
      <c r="A590" s="30"/>
      <c r="B590" s="31"/>
      <c r="C590" s="32"/>
      <c r="D590" s="31"/>
      <c r="E590" s="33" t="str">
        <f aca="false">IF(COUNTA(A590:D590)=0,"",IF(COUNTA(A590:C590)&lt;3,"⚠未入力",IF(OR(A590&lt;設定!$C$8,A590&gt;設定!$C$9),"⚠期間外",IF(COUNTIF(設定!$B$15:$B$29,B590)=0,"⚠項目不明",""))))</f>
        <v/>
      </c>
    </row>
    <row r="591" customFormat="false" ht="15" hidden="false" customHeight="false" outlineLevel="0" collapsed="false">
      <c r="A591" s="30"/>
      <c r="B591" s="31"/>
      <c r="C591" s="32"/>
      <c r="D591" s="31"/>
      <c r="E591" s="33" t="str">
        <f aca="false">IF(COUNTA(A591:D591)=0,"",IF(COUNTA(A591:C591)&lt;3,"⚠未入力",IF(OR(A591&lt;設定!$C$8,A591&gt;設定!$C$9),"⚠期間外",IF(COUNTIF(設定!$B$15:$B$29,B591)=0,"⚠項目不明",""))))</f>
        <v/>
      </c>
    </row>
    <row r="592" customFormat="false" ht="15" hidden="false" customHeight="false" outlineLevel="0" collapsed="false">
      <c r="A592" s="30"/>
      <c r="B592" s="31"/>
      <c r="C592" s="32"/>
      <c r="D592" s="31"/>
      <c r="E592" s="33" t="str">
        <f aca="false">IF(COUNTA(A592:D592)=0,"",IF(COUNTA(A592:C592)&lt;3,"⚠未入力",IF(OR(A592&lt;設定!$C$8,A592&gt;設定!$C$9),"⚠期間外",IF(COUNTIF(設定!$B$15:$B$29,B592)=0,"⚠項目不明",""))))</f>
        <v/>
      </c>
    </row>
    <row r="593" customFormat="false" ht="15" hidden="false" customHeight="false" outlineLevel="0" collapsed="false">
      <c r="A593" s="30"/>
      <c r="B593" s="31"/>
      <c r="C593" s="32"/>
      <c r="D593" s="31"/>
      <c r="E593" s="33" t="str">
        <f aca="false">IF(COUNTA(A593:D593)=0,"",IF(COUNTA(A593:C593)&lt;3,"⚠未入力",IF(OR(A593&lt;設定!$C$8,A593&gt;設定!$C$9),"⚠期間外",IF(COUNTIF(設定!$B$15:$B$29,B593)=0,"⚠項目不明",""))))</f>
        <v/>
      </c>
    </row>
    <row r="594" customFormat="false" ht="15" hidden="false" customHeight="false" outlineLevel="0" collapsed="false">
      <c r="A594" s="30"/>
      <c r="B594" s="31"/>
      <c r="C594" s="32"/>
      <c r="D594" s="31"/>
      <c r="E594" s="33" t="str">
        <f aca="false">IF(COUNTA(A594:D594)=0,"",IF(COUNTA(A594:C594)&lt;3,"⚠未入力",IF(OR(A594&lt;設定!$C$8,A594&gt;設定!$C$9),"⚠期間外",IF(COUNTIF(設定!$B$15:$B$29,B594)=0,"⚠項目不明",""))))</f>
        <v/>
      </c>
    </row>
    <row r="595" customFormat="false" ht="15" hidden="false" customHeight="false" outlineLevel="0" collapsed="false">
      <c r="A595" s="30"/>
      <c r="B595" s="31"/>
      <c r="C595" s="32"/>
      <c r="D595" s="31"/>
      <c r="E595" s="33" t="str">
        <f aca="false">IF(COUNTA(A595:D595)=0,"",IF(COUNTA(A595:C595)&lt;3,"⚠未入力",IF(OR(A595&lt;設定!$C$8,A595&gt;設定!$C$9),"⚠期間外",IF(COUNTIF(設定!$B$15:$B$29,B595)=0,"⚠項目不明",""))))</f>
        <v/>
      </c>
    </row>
    <row r="596" customFormat="false" ht="15" hidden="false" customHeight="false" outlineLevel="0" collapsed="false">
      <c r="A596" s="30"/>
      <c r="B596" s="31"/>
      <c r="C596" s="32"/>
      <c r="D596" s="31"/>
      <c r="E596" s="33" t="str">
        <f aca="false">IF(COUNTA(A596:D596)=0,"",IF(COUNTA(A596:C596)&lt;3,"⚠未入力",IF(OR(A596&lt;設定!$C$8,A596&gt;設定!$C$9),"⚠期間外",IF(COUNTIF(設定!$B$15:$B$29,B596)=0,"⚠項目不明",""))))</f>
        <v/>
      </c>
    </row>
    <row r="597" customFormat="false" ht="15" hidden="false" customHeight="false" outlineLevel="0" collapsed="false">
      <c r="A597" s="30"/>
      <c r="B597" s="31"/>
      <c r="C597" s="32"/>
      <c r="D597" s="31"/>
      <c r="E597" s="33" t="str">
        <f aca="false">IF(COUNTA(A597:D597)=0,"",IF(COUNTA(A597:C597)&lt;3,"⚠未入力",IF(OR(A597&lt;設定!$C$8,A597&gt;設定!$C$9),"⚠期間外",IF(COUNTIF(設定!$B$15:$B$29,B597)=0,"⚠項目不明",""))))</f>
        <v/>
      </c>
    </row>
    <row r="598" customFormat="false" ht="15" hidden="false" customHeight="false" outlineLevel="0" collapsed="false">
      <c r="A598" s="30"/>
      <c r="B598" s="31"/>
      <c r="C598" s="32"/>
      <c r="D598" s="31"/>
      <c r="E598" s="33" t="str">
        <f aca="false">IF(COUNTA(A598:D598)=0,"",IF(COUNTA(A598:C598)&lt;3,"⚠未入力",IF(OR(A598&lt;設定!$C$8,A598&gt;設定!$C$9),"⚠期間外",IF(COUNTIF(設定!$B$15:$B$29,B598)=0,"⚠項目不明",""))))</f>
        <v/>
      </c>
    </row>
    <row r="599" customFormat="false" ht="15" hidden="false" customHeight="false" outlineLevel="0" collapsed="false">
      <c r="A599" s="30"/>
      <c r="B599" s="31"/>
      <c r="C599" s="32"/>
      <c r="D599" s="31"/>
      <c r="E599" s="33" t="str">
        <f aca="false">IF(COUNTA(A599:D599)=0,"",IF(COUNTA(A599:C599)&lt;3,"⚠未入力",IF(OR(A599&lt;設定!$C$8,A599&gt;設定!$C$9),"⚠期間外",IF(COUNTIF(設定!$B$15:$B$29,B599)=0,"⚠項目不明",""))))</f>
        <v/>
      </c>
    </row>
    <row r="600" customFormat="false" ht="15" hidden="false" customHeight="false" outlineLevel="0" collapsed="false">
      <c r="A600" s="30"/>
      <c r="B600" s="31"/>
      <c r="C600" s="32"/>
      <c r="D600" s="31"/>
      <c r="E600" s="33" t="str">
        <f aca="false">IF(COUNTA(A600:D600)=0,"",IF(COUNTA(A600:C600)&lt;3,"⚠未入力",IF(OR(A600&lt;設定!$C$8,A600&gt;設定!$C$9),"⚠期間外",IF(COUNTIF(設定!$B$15:$B$29,B600)=0,"⚠項目不明",""))))</f>
        <v/>
      </c>
    </row>
    <row r="601" customFormat="false" ht="15" hidden="false" customHeight="false" outlineLevel="0" collapsed="false">
      <c r="A601" s="30"/>
      <c r="B601" s="31"/>
      <c r="C601" s="32"/>
      <c r="D601" s="31"/>
      <c r="E601" s="33" t="str">
        <f aca="false">IF(COUNTA(A601:D601)=0,"",IF(COUNTA(A601:C601)&lt;3,"⚠未入力",IF(OR(A601&lt;設定!$C$8,A601&gt;設定!$C$9),"⚠期間外",IF(COUNTIF(設定!$B$15:$B$29,B601)=0,"⚠項目不明",""))))</f>
        <v/>
      </c>
    </row>
    <row r="602" customFormat="false" ht="15" hidden="false" customHeight="false" outlineLevel="0" collapsed="false">
      <c r="A602" s="30"/>
      <c r="B602" s="31"/>
      <c r="C602" s="32"/>
      <c r="D602" s="31"/>
      <c r="E602" s="33" t="str">
        <f aca="false">IF(COUNTA(A602:D602)=0,"",IF(COUNTA(A602:C602)&lt;3,"⚠未入力",IF(OR(A602&lt;設定!$C$8,A602&gt;設定!$C$9),"⚠期間外",IF(COUNTIF(設定!$B$15:$B$29,B602)=0,"⚠項目不明",""))))</f>
        <v/>
      </c>
    </row>
    <row r="603" customFormat="false" ht="15" hidden="false" customHeight="false" outlineLevel="0" collapsed="false">
      <c r="A603" s="30"/>
      <c r="B603" s="31"/>
      <c r="C603" s="32"/>
      <c r="D603" s="31"/>
      <c r="E603" s="33" t="str">
        <f aca="false">IF(COUNTA(A603:D603)=0,"",IF(COUNTA(A603:C603)&lt;3,"⚠未入力",IF(OR(A603&lt;設定!$C$8,A603&gt;設定!$C$9),"⚠期間外",IF(COUNTIF(設定!$B$15:$B$29,B603)=0,"⚠項目不明",""))))</f>
        <v/>
      </c>
    </row>
    <row r="604" customFormat="false" ht="15" hidden="false" customHeight="false" outlineLevel="0" collapsed="false">
      <c r="A604" s="30"/>
      <c r="B604" s="31"/>
      <c r="C604" s="32"/>
      <c r="D604" s="31"/>
      <c r="E604" s="33" t="str">
        <f aca="false">IF(COUNTA(A604:D604)=0,"",IF(COUNTA(A604:C604)&lt;3,"⚠未入力",IF(OR(A604&lt;設定!$C$8,A604&gt;設定!$C$9),"⚠期間外",IF(COUNTIF(設定!$B$15:$B$29,B604)=0,"⚠項目不明",""))))</f>
        <v/>
      </c>
    </row>
    <row r="605" customFormat="false" ht="15" hidden="false" customHeight="false" outlineLevel="0" collapsed="false">
      <c r="A605" s="30"/>
      <c r="B605" s="31"/>
      <c r="C605" s="32"/>
      <c r="D605" s="31"/>
      <c r="E605" s="33" t="str">
        <f aca="false">IF(COUNTA(A605:D605)=0,"",IF(COUNTA(A605:C605)&lt;3,"⚠未入力",IF(OR(A605&lt;設定!$C$8,A605&gt;設定!$C$9),"⚠期間外",IF(COUNTIF(設定!$B$15:$B$29,B605)=0,"⚠項目不明",""))))</f>
        <v/>
      </c>
    </row>
    <row r="606" customFormat="false" ht="15" hidden="false" customHeight="false" outlineLevel="0" collapsed="false">
      <c r="A606" s="30"/>
      <c r="B606" s="31"/>
      <c r="C606" s="32"/>
      <c r="D606" s="31"/>
      <c r="E606" s="33" t="str">
        <f aca="false">IF(COUNTA(A606:D606)=0,"",IF(COUNTA(A606:C606)&lt;3,"⚠未入力",IF(OR(A606&lt;設定!$C$8,A606&gt;設定!$C$9),"⚠期間外",IF(COUNTIF(設定!$B$15:$B$29,B606)=0,"⚠項目不明",""))))</f>
        <v/>
      </c>
    </row>
    <row r="607" customFormat="false" ht="15" hidden="false" customHeight="false" outlineLevel="0" collapsed="false">
      <c r="A607" s="30"/>
      <c r="B607" s="31"/>
      <c r="C607" s="32"/>
      <c r="D607" s="31"/>
      <c r="E607" s="33" t="str">
        <f aca="false">IF(COUNTA(A607:D607)=0,"",IF(COUNTA(A607:C607)&lt;3,"⚠未入力",IF(OR(A607&lt;設定!$C$8,A607&gt;設定!$C$9),"⚠期間外",IF(COUNTIF(設定!$B$15:$B$29,B607)=0,"⚠項目不明",""))))</f>
        <v/>
      </c>
    </row>
    <row r="608" customFormat="false" ht="15" hidden="false" customHeight="false" outlineLevel="0" collapsed="false">
      <c r="A608" s="30"/>
      <c r="B608" s="31"/>
      <c r="C608" s="32"/>
      <c r="D608" s="31"/>
      <c r="E608" s="33" t="str">
        <f aca="false">IF(COUNTA(A608:D608)=0,"",IF(COUNTA(A608:C608)&lt;3,"⚠未入力",IF(OR(A608&lt;設定!$C$8,A608&gt;設定!$C$9),"⚠期間外",IF(COUNTIF(設定!$B$15:$B$29,B608)=0,"⚠項目不明",""))))</f>
        <v/>
      </c>
    </row>
    <row r="609" customFormat="false" ht="15" hidden="false" customHeight="false" outlineLevel="0" collapsed="false">
      <c r="A609" s="30"/>
      <c r="B609" s="31"/>
      <c r="C609" s="32"/>
      <c r="D609" s="31"/>
      <c r="E609" s="33" t="str">
        <f aca="false">IF(COUNTA(A609:D609)=0,"",IF(COUNTA(A609:C609)&lt;3,"⚠未入力",IF(OR(A609&lt;設定!$C$8,A609&gt;設定!$C$9),"⚠期間外",IF(COUNTIF(設定!$B$15:$B$29,B609)=0,"⚠項目不明",""))))</f>
        <v/>
      </c>
    </row>
    <row r="610" customFormat="false" ht="15" hidden="false" customHeight="false" outlineLevel="0" collapsed="false">
      <c r="A610" s="30"/>
      <c r="B610" s="31"/>
      <c r="C610" s="32"/>
      <c r="D610" s="31"/>
      <c r="E610" s="33" t="str">
        <f aca="false">IF(COUNTA(A610:D610)=0,"",IF(COUNTA(A610:C610)&lt;3,"⚠未入力",IF(OR(A610&lt;設定!$C$8,A610&gt;設定!$C$9),"⚠期間外",IF(COUNTIF(設定!$B$15:$B$29,B610)=0,"⚠項目不明",""))))</f>
        <v/>
      </c>
    </row>
    <row r="611" customFormat="false" ht="15" hidden="false" customHeight="false" outlineLevel="0" collapsed="false">
      <c r="A611" s="30"/>
      <c r="B611" s="31"/>
      <c r="C611" s="32"/>
      <c r="D611" s="31"/>
      <c r="E611" s="33" t="str">
        <f aca="false">IF(COUNTA(A611:D611)=0,"",IF(COUNTA(A611:C611)&lt;3,"⚠未入力",IF(OR(A611&lt;設定!$C$8,A611&gt;設定!$C$9),"⚠期間外",IF(COUNTIF(設定!$B$15:$B$29,B611)=0,"⚠項目不明",""))))</f>
        <v/>
      </c>
    </row>
    <row r="612" customFormat="false" ht="15" hidden="false" customHeight="false" outlineLevel="0" collapsed="false">
      <c r="A612" s="30"/>
      <c r="B612" s="31"/>
      <c r="C612" s="32"/>
      <c r="D612" s="31"/>
      <c r="E612" s="33" t="str">
        <f aca="false">IF(COUNTA(A612:D612)=0,"",IF(COUNTA(A612:C612)&lt;3,"⚠未入力",IF(OR(A612&lt;設定!$C$8,A612&gt;設定!$C$9),"⚠期間外",IF(COUNTIF(設定!$B$15:$B$29,B612)=0,"⚠項目不明",""))))</f>
        <v/>
      </c>
    </row>
    <row r="613" customFormat="false" ht="15" hidden="false" customHeight="false" outlineLevel="0" collapsed="false">
      <c r="A613" s="30"/>
      <c r="B613" s="31"/>
      <c r="C613" s="32"/>
      <c r="D613" s="31"/>
      <c r="E613" s="33" t="str">
        <f aca="false">IF(COUNTA(A613:D613)=0,"",IF(COUNTA(A613:C613)&lt;3,"⚠未入力",IF(OR(A613&lt;設定!$C$8,A613&gt;設定!$C$9),"⚠期間外",IF(COUNTIF(設定!$B$15:$B$29,B613)=0,"⚠項目不明",""))))</f>
        <v/>
      </c>
    </row>
    <row r="614" customFormat="false" ht="15" hidden="false" customHeight="false" outlineLevel="0" collapsed="false">
      <c r="A614" s="30"/>
      <c r="B614" s="31"/>
      <c r="C614" s="32"/>
      <c r="D614" s="31"/>
      <c r="E614" s="33" t="str">
        <f aca="false">IF(COUNTA(A614:D614)=0,"",IF(COUNTA(A614:C614)&lt;3,"⚠未入力",IF(OR(A614&lt;設定!$C$8,A614&gt;設定!$C$9),"⚠期間外",IF(COUNTIF(設定!$B$15:$B$29,B614)=0,"⚠項目不明",""))))</f>
        <v/>
      </c>
    </row>
    <row r="615" customFormat="false" ht="15" hidden="false" customHeight="false" outlineLevel="0" collapsed="false">
      <c r="A615" s="30"/>
      <c r="B615" s="31"/>
      <c r="C615" s="32"/>
      <c r="D615" s="31"/>
      <c r="E615" s="33" t="str">
        <f aca="false">IF(COUNTA(A615:D615)=0,"",IF(COUNTA(A615:C615)&lt;3,"⚠未入力",IF(OR(A615&lt;設定!$C$8,A615&gt;設定!$C$9),"⚠期間外",IF(COUNTIF(設定!$B$15:$B$29,B615)=0,"⚠項目不明",""))))</f>
        <v/>
      </c>
    </row>
    <row r="616" customFormat="false" ht="15" hidden="false" customHeight="false" outlineLevel="0" collapsed="false">
      <c r="A616" s="30"/>
      <c r="B616" s="31"/>
      <c r="C616" s="32"/>
      <c r="D616" s="31"/>
      <c r="E616" s="33" t="str">
        <f aca="false">IF(COUNTA(A616:D616)=0,"",IF(COUNTA(A616:C616)&lt;3,"⚠未入力",IF(OR(A616&lt;設定!$C$8,A616&gt;設定!$C$9),"⚠期間外",IF(COUNTIF(設定!$B$15:$B$29,B616)=0,"⚠項目不明",""))))</f>
        <v/>
      </c>
    </row>
    <row r="617" customFormat="false" ht="15" hidden="false" customHeight="false" outlineLevel="0" collapsed="false">
      <c r="A617" s="30"/>
      <c r="B617" s="31"/>
      <c r="C617" s="32"/>
      <c r="D617" s="31"/>
      <c r="E617" s="33" t="str">
        <f aca="false">IF(COUNTA(A617:D617)=0,"",IF(COUNTA(A617:C617)&lt;3,"⚠未入力",IF(OR(A617&lt;設定!$C$8,A617&gt;設定!$C$9),"⚠期間外",IF(COUNTIF(設定!$B$15:$B$29,B617)=0,"⚠項目不明",""))))</f>
        <v/>
      </c>
    </row>
    <row r="618" customFormat="false" ht="15" hidden="false" customHeight="false" outlineLevel="0" collapsed="false">
      <c r="A618" s="30"/>
      <c r="B618" s="31"/>
      <c r="C618" s="32"/>
      <c r="D618" s="31"/>
      <c r="E618" s="33" t="str">
        <f aca="false">IF(COUNTA(A618:D618)=0,"",IF(COUNTA(A618:C618)&lt;3,"⚠未入力",IF(OR(A618&lt;設定!$C$8,A618&gt;設定!$C$9),"⚠期間外",IF(COUNTIF(設定!$B$15:$B$29,B618)=0,"⚠項目不明",""))))</f>
        <v/>
      </c>
    </row>
    <row r="619" customFormat="false" ht="15" hidden="false" customHeight="false" outlineLevel="0" collapsed="false">
      <c r="A619" s="30"/>
      <c r="B619" s="31"/>
      <c r="C619" s="32"/>
      <c r="D619" s="31"/>
      <c r="E619" s="33" t="str">
        <f aca="false">IF(COUNTA(A619:D619)=0,"",IF(COUNTA(A619:C619)&lt;3,"⚠未入力",IF(OR(A619&lt;設定!$C$8,A619&gt;設定!$C$9),"⚠期間外",IF(COUNTIF(設定!$B$15:$B$29,B619)=0,"⚠項目不明",""))))</f>
        <v/>
      </c>
    </row>
    <row r="620" customFormat="false" ht="15" hidden="false" customHeight="false" outlineLevel="0" collapsed="false">
      <c r="A620" s="30"/>
      <c r="B620" s="31"/>
      <c r="C620" s="32"/>
      <c r="D620" s="31"/>
      <c r="E620" s="33" t="str">
        <f aca="false">IF(COUNTA(A620:D620)=0,"",IF(COUNTA(A620:C620)&lt;3,"⚠未入力",IF(OR(A620&lt;設定!$C$8,A620&gt;設定!$C$9),"⚠期間外",IF(COUNTIF(設定!$B$15:$B$29,B620)=0,"⚠項目不明",""))))</f>
        <v/>
      </c>
    </row>
    <row r="621" customFormat="false" ht="15" hidden="false" customHeight="false" outlineLevel="0" collapsed="false">
      <c r="A621" s="30"/>
      <c r="B621" s="31"/>
      <c r="C621" s="32"/>
      <c r="D621" s="31"/>
      <c r="E621" s="33" t="str">
        <f aca="false">IF(COUNTA(A621:D621)=0,"",IF(COUNTA(A621:C621)&lt;3,"⚠未入力",IF(OR(A621&lt;設定!$C$8,A621&gt;設定!$C$9),"⚠期間外",IF(COUNTIF(設定!$B$15:$B$29,B621)=0,"⚠項目不明",""))))</f>
        <v/>
      </c>
    </row>
    <row r="622" customFormat="false" ht="15" hidden="false" customHeight="false" outlineLevel="0" collapsed="false">
      <c r="A622" s="30"/>
      <c r="B622" s="31"/>
      <c r="C622" s="32"/>
      <c r="D622" s="31"/>
      <c r="E622" s="33" t="str">
        <f aca="false">IF(COUNTA(A622:D622)=0,"",IF(COUNTA(A622:C622)&lt;3,"⚠未入力",IF(OR(A622&lt;設定!$C$8,A622&gt;設定!$C$9),"⚠期間外",IF(COUNTIF(設定!$B$15:$B$29,B622)=0,"⚠項目不明",""))))</f>
        <v/>
      </c>
    </row>
    <row r="623" customFormat="false" ht="15" hidden="false" customHeight="false" outlineLevel="0" collapsed="false">
      <c r="A623" s="30"/>
      <c r="B623" s="31"/>
      <c r="C623" s="32"/>
      <c r="D623" s="31"/>
      <c r="E623" s="33" t="str">
        <f aca="false">IF(COUNTA(A623:D623)=0,"",IF(COUNTA(A623:C623)&lt;3,"⚠未入力",IF(OR(A623&lt;設定!$C$8,A623&gt;設定!$C$9),"⚠期間外",IF(COUNTIF(設定!$B$15:$B$29,B623)=0,"⚠項目不明",""))))</f>
        <v/>
      </c>
    </row>
    <row r="624" customFormat="false" ht="15" hidden="false" customHeight="false" outlineLevel="0" collapsed="false">
      <c r="A624" s="30"/>
      <c r="B624" s="31"/>
      <c r="C624" s="32"/>
      <c r="D624" s="31"/>
      <c r="E624" s="33" t="str">
        <f aca="false">IF(COUNTA(A624:D624)=0,"",IF(COUNTA(A624:C624)&lt;3,"⚠未入力",IF(OR(A624&lt;設定!$C$8,A624&gt;設定!$C$9),"⚠期間外",IF(COUNTIF(設定!$B$15:$B$29,B624)=0,"⚠項目不明",""))))</f>
        <v/>
      </c>
    </row>
    <row r="625" customFormat="false" ht="15" hidden="false" customHeight="false" outlineLevel="0" collapsed="false">
      <c r="A625" s="30"/>
      <c r="B625" s="31"/>
      <c r="C625" s="32"/>
      <c r="D625" s="31"/>
      <c r="E625" s="33" t="str">
        <f aca="false">IF(COUNTA(A625:D625)=0,"",IF(COUNTA(A625:C625)&lt;3,"⚠未入力",IF(OR(A625&lt;設定!$C$8,A625&gt;設定!$C$9),"⚠期間外",IF(COUNTIF(設定!$B$15:$B$29,B625)=0,"⚠項目不明",""))))</f>
        <v/>
      </c>
    </row>
    <row r="626" customFormat="false" ht="15" hidden="false" customHeight="false" outlineLevel="0" collapsed="false">
      <c r="A626" s="30"/>
      <c r="B626" s="31"/>
      <c r="C626" s="32"/>
      <c r="D626" s="31"/>
      <c r="E626" s="33" t="str">
        <f aca="false">IF(COUNTA(A626:D626)=0,"",IF(COUNTA(A626:C626)&lt;3,"⚠未入力",IF(OR(A626&lt;設定!$C$8,A626&gt;設定!$C$9),"⚠期間外",IF(COUNTIF(設定!$B$15:$B$29,B626)=0,"⚠項目不明",""))))</f>
        <v/>
      </c>
    </row>
    <row r="627" customFormat="false" ht="15" hidden="false" customHeight="false" outlineLevel="0" collapsed="false">
      <c r="A627" s="30"/>
      <c r="B627" s="31"/>
      <c r="C627" s="32"/>
      <c r="D627" s="31"/>
      <c r="E627" s="33" t="str">
        <f aca="false">IF(COUNTA(A627:D627)=0,"",IF(COUNTA(A627:C627)&lt;3,"⚠未入力",IF(OR(A627&lt;設定!$C$8,A627&gt;設定!$C$9),"⚠期間外",IF(COUNTIF(設定!$B$15:$B$29,B627)=0,"⚠項目不明",""))))</f>
        <v/>
      </c>
    </row>
    <row r="628" customFormat="false" ht="15" hidden="false" customHeight="false" outlineLevel="0" collapsed="false">
      <c r="A628" s="30"/>
      <c r="B628" s="31"/>
      <c r="C628" s="32"/>
      <c r="D628" s="31"/>
      <c r="E628" s="33" t="str">
        <f aca="false">IF(COUNTA(A628:D628)=0,"",IF(COUNTA(A628:C628)&lt;3,"⚠未入力",IF(OR(A628&lt;設定!$C$8,A628&gt;設定!$C$9),"⚠期間外",IF(COUNTIF(設定!$B$15:$B$29,B628)=0,"⚠項目不明",""))))</f>
        <v/>
      </c>
    </row>
    <row r="629" customFormat="false" ht="15" hidden="false" customHeight="false" outlineLevel="0" collapsed="false">
      <c r="A629" s="30"/>
      <c r="B629" s="31"/>
      <c r="C629" s="32"/>
      <c r="D629" s="31"/>
      <c r="E629" s="33" t="str">
        <f aca="false">IF(COUNTA(A629:D629)=0,"",IF(COUNTA(A629:C629)&lt;3,"⚠未入力",IF(OR(A629&lt;設定!$C$8,A629&gt;設定!$C$9),"⚠期間外",IF(COUNTIF(設定!$B$15:$B$29,B629)=0,"⚠項目不明",""))))</f>
        <v/>
      </c>
    </row>
    <row r="630" customFormat="false" ht="15" hidden="false" customHeight="false" outlineLevel="0" collapsed="false">
      <c r="A630" s="30"/>
      <c r="B630" s="31"/>
      <c r="C630" s="32"/>
      <c r="D630" s="31"/>
      <c r="E630" s="33" t="str">
        <f aca="false">IF(COUNTA(A630:D630)=0,"",IF(COUNTA(A630:C630)&lt;3,"⚠未入力",IF(OR(A630&lt;設定!$C$8,A630&gt;設定!$C$9),"⚠期間外",IF(COUNTIF(設定!$B$15:$B$29,B630)=0,"⚠項目不明",""))))</f>
        <v/>
      </c>
    </row>
    <row r="631" customFormat="false" ht="15" hidden="false" customHeight="false" outlineLevel="0" collapsed="false">
      <c r="A631" s="30"/>
      <c r="B631" s="31"/>
      <c r="C631" s="32"/>
      <c r="D631" s="31"/>
      <c r="E631" s="33" t="str">
        <f aca="false">IF(COUNTA(A631:D631)=0,"",IF(COUNTA(A631:C631)&lt;3,"⚠未入力",IF(OR(A631&lt;設定!$C$8,A631&gt;設定!$C$9),"⚠期間外",IF(COUNTIF(設定!$B$15:$B$29,B631)=0,"⚠項目不明",""))))</f>
        <v/>
      </c>
    </row>
    <row r="632" customFormat="false" ht="15" hidden="false" customHeight="false" outlineLevel="0" collapsed="false">
      <c r="A632" s="30"/>
      <c r="B632" s="31"/>
      <c r="C632" s="32"/>
      <c r="D632" s="31"/>
      <c r="E632" s="33" t="str">
        <f aca="false">IF(COUNTA(A632:D632)=0,"",IF(COUNTA(A632:C632)&lt;3,"⚠未入力",IF(OR(A632&lt;設定!$C$8,A632&gt;設定!$C$9),"⚠期間外",IF(COUNTIF(設定!$B$15:$B$29,B632)=0,"⚠項目不明",""))))</f>
        <v/>
      </c>
    </row>
    <row r="633" customFormat="false" ht="15" hidden="false" customHeight="false" outlineLevel="0" collapsed="false">
      <c r="A633" s="30"/>
      <c r="B633" s="31"/>
      <c r="C633" s="32"/>
      <c r="D633" s="31"/>
      <c r="E633" s="33" t="str">
        <f aca="false">IF(COUNTA(A633:D633)=0,"",IF(COUNTA(A633:C633)&lt;3,"⚠未入力",IF(OR(A633&lt;設定!$C$8,A633&gt;設定!$C$9),"⚠期間外",IF(COUNTIF(設定!$B$15:$B$29,B633)=0,"⚠項目不明",""))))</f>
        <v/>
      </c>
    </row>
    <row r="634" customFormat="false" ht="15" hidden="false" customHeight="false" outlineLevel="0" collapsed="false">
      <c r="A634" s="30"/>
      <c r="B634" s="31"/>
      <c r="C634" s="32"/>
      <c r="D634" s="31"/>
      <c r="E634" s="33" t="str">
        <f aca="false">IF(COUNTA(A634:D634)=0,"",IF(COUNTA(A634:C634)&lt;3,"⚠未入力",IF(OR(A634&lt;設定!$C$8,A634&gt;設定!$C$9),"⚠期間外",IF(COUNTIF(設定!$B$15:$B$29,B634)=0,"⚠項目不明",""))))</f>
        <v/>
      </c>
    </row>
    <row r="635" customFormat="false" ht="15" hidden="false" customHeight="false" outlineLevel="0" collapsed="false">
      <c r="A635" s="30"/>
      <c r="B635" s="31"/>
      <c r="C635" s="32"/>
      <c r="D635" s="31"/>
      <c r="E635" s="33" t="str">
        <f aca="false">IF(COUNTA(A635:D635)=0,"",IF(COUNTA(A635:C635)&lt;3,"⚠未入力",IF(OR(A635&lt;設定!$C$8,A635&gt;設定!$C$9),"⚠期間外",IF(COUNTIF(設定!$B$15:$B$29,B635)=0,"⚠項目不明",""))))</f>
        <v/>
      </c>
    </row>
    <row r="636" customFormat="false" ht="15" hidden="false" customHeight="false" outlineLevel="0" collapsed="false">
      <c r="A636" s="30"/>
      <c r="B636" s="31"/>
      <c r="C636" s="32"/>
      <c r="D636" s="31"/>
      <c r="E636" s="33" t="str">
        <f aca="false">IF(COUNTA(A636:D636)=0,"",IF(COUNTA(A636:C636)&lt;3,"⚠未入力",IF(OR(A636&lt;設定!$C$8,A636&gt;設定!$C$9),"⚠期間外",IF(COUNTIF(設定!$B$15:$B$29,B636)=0,"⚠項目不明",""))))</f>
        <v/>
      </c>
    </row>
    <row r="637" customFormat="false" ht="15" hidden="false" customHeight="false" outlineLevel="0" collapsed="false">
      <c r="A637" s="30"/>
      <c r="B637" s="31"/>
      <c r="C637" s="32"/>
      <c r="D637" s="31"/>
      <c r="E637" s="33" t="str">
        <f aca="false">IF(COUNTA(A637:D637)=0,"",IF(COUNTA(A637:C637)&lt;3,"⚠未入力",IF(OR(A637&lt;設定!$C$8,A637&gt;設定!$C$9),"⚠期間外",IF(COUNTIF(設定!$B$15:$B$29,B637)=0,"⚠項目不明",""))))</f>
        <v/>
      </c>
    </row>
    <row r="638" customFormat="false" ht="15" hidden="false" customHeight="false" outlineLevel="0" collapsed="false">
      <c r="A638" s="30"/>
      <c r="B638" s="31"/>
      <c r="C638" s="32"/>
      <c r="D638" s="31"/>
      <c r="E638" s="33" t="str">
        <f aca="false">IF(COUNTA(A638:D638)=0,"",IF(COUNTA(A638:C638)&lt;3,"⚠未入力",IF(OR(A638&lt;設定!$C$8,A638&gt;設定!$C$9),"⚠期間外",IF(COUNTIF(設定!$B$15:$B$29,B638)=0,"⚠項目不明",""))))</f>
        <v/>
      </c>
    </row>
    <row r="639" customFormat="false" ht="15" hidden="false" customHeight="false" outlineLevel="0" collapsed="false">
      <c r="A639" s="30"/>
      <c r="B639" s="31"/>
      <c r="C639" s="32"/>
      <c r="D639" s="31"/>
      <c r="E639" s="33" t="str">
        <f aca="false">IF(COUNTA(A639:D639)=0,"",IF(COUNTA(A639:C639)&lt;3,"⚠未入力",IF(OR(A639&lt;設定!$C$8,A639&gt;設定!$C$9),"⚠期間外",IF(COUNTIF(設定!$B$15:$B$29,B639)=0,"⚠項目不明",""))))</f>
        <v/>
      </c>
    </row>
    <row r="640" customFormat="false" ht="15" hidden="false" customHeight="false" outlineLevel="0" collapsed="false">
      <c r="A640" s="30"/>
      <c r="B640" s="31"/>
      <c r="C640" s="32"/>
      <c r="D640" s="31"/>
      <c r="E640" s="33" t="str">
        <f aca="false">IF(COUNTA(A640:D640)=0,"",IF(COUNTA(A640:C640)&lt;3,"⚠未入力",IF(OR(A640&lt;設定!$C$8,A640&gt;設定!$C$9),"⚠期間外",IF(COUNTIF(設定!$B$15:$B$29,B640)=0,"⚠項目不明",""))))</f>
        <v/>
      </c>
    </row>
    <row r="641" customFormat="false" ht="15" hidden="false" customHeight="false" outlineLevel="0" collapsed="false">
      <c r="A641" s="30"/>
      <c r="B641" s="31"/>
      <c r="C641" s="32"/>
      <c r="D641" s="31"/>
      <c r="E641" s="33" t="str">
        <f aca="false">IF(COUNTA(A641:D641)=0,"",IF(COUNTA(A641:C641)&lt;3,"⚠未入力",IF(OR(A641&lt;設定!$C$8,A641&gt;設定!$C$9),"⚠期間外",IF(COUNTIF(設定!$B$15:$B$29,B641)=0,"⚠項目不明",""))))</f>
        <v/>
      </c>
    </row>
    <row r="642" customFormat="false" ht="15" hidden="false" customHeight="false" outlineLevel="0" collapsed="false">
      <c r="A642" s="30"/>
      <c r="B642" s="31"/>
      <c r="C642" s="32"/>
      <c r="D642" s="31"/>
      <c r="E642" s="33" t="str">
        <f aca="false">IF(COUNTA(A642:D642)=0,"",IF(COUNTA(A642:C642)&lt;3,"⚠未入力",IF(OR(A642&lt;設定!$C$8,A642&gt;設定!$C$9),"⚠期間外",IF(COUNTIF(設定!$B$15:$B$29,B642)=0,"⚠項目不明",""))))</f>
        <v/>
      </c>
    </row>
    <row r="643" customFormat="false" ht="15" hidden="false" customHeight="false" outlineLevel="0" collapsed="false">
      <c r="A643" s="30"/>
      <c r="B643" s="31"/>
      <c r="C643" s="32"/>
      <c r="D643" s="31"/>
      <c r="E643" s="33" t="str">
        <f aca="false">IF(COUNTA(A643:D643)=0,"",IF(COUNTA(A643:C643)&lt;3,"⚠未入力",IF(OR(A643&lt;設定!$C$8,A643&gt;設定!$C$9),"⚠期間外",IF(COUNTIF(設定!$B$15:$B$29,B643)=0,"⚠項目不明",""))))</f>
        <v/>
      </c>
    </row>
    <row r="644" customFormat="false" ht="15" hidden="false" customHeight="false" outlineLevel="0" collapsed="false">
      <c r="A644" s="30"/>
      <c r="B644" s="31"/>
      <c r="C644" s="32"/>
      <c r="D644" s="31"/>
      <c r="E644" s="33" t="str">
        <f aca="false">IF(COUNTA(A644:D644)=0,"",IF(COUNTA(A644:C644)&lt;3,"⚠未入力",IF(OR(A644&lt;設定!$C$8,A644&gt;設定!$C$9),"⚠期間外",IF(COUNTIF(設定!$B$15:$B$29,B644)=0,"⚠項目不明",""))))</f>
        <v/>
      </c>
    </row>
    <row r="645" customFormat="false" ht="15" hidden="false" customHeight="false" outlineLevel="0" collapsed="false">
      <c r="A645" s="30"/>
      <c r="B645" s="31"/>
      <c r="C645" s="32"/>
      <c r="D645" s="31"/>
      <c r="E645" s="33" t="str">
        <f aca="false">IF(COUNTA(A645:D645)=0,"",IF(COUNTA(A645:C645)&lt;3,"⚠未入力",IF(OR(A645&lt;設定!$C$8,A645&gt;設定!$C$9),"⚠期間外",IF(COUNTIF(設定!$B$15:$B$29,B645)=0,"⚠項目不明",""))))</f>
        <v/>
      </c>
    </row>
    <row r="646" customFormat="false" ht="15" hidden="false" customHeight="false" outlineLevel="0" collapsed="false">
      <c r="A646" s="30"/>
      <c r="B646" s="31"/>
      <c r="C646" s="32"/>
      <c r="D646" s="31"/>
      <c r="E646" s="33" t="str">
        <f aca="false">IF(COUNTA(A646:D646)=0,"",IF(COUNTA(A646:C646)&lt;3,"⚠未入力",IF(OR(A646&lt;設定!$C$8,A646&gt;設定!$C$9),"⚠期間外",IF(COUNTIF(設定!$B$15:$B$29,B646)=0,"⚠項目不明",""))))</f>
        <v/>
      </c>
    </row>
    <row r="647" customFormat="false" ht="15" hidden="false" customHeight="false" outlineLevel="0" collapsed="false">
      <c r="A647" s="30"/>
      <c r="B647" s="31"/>
      <c r="C647" s="32"/>
      <c r="D647" s="31"/>
      <c r="E647" s="33" t="str">
        <f aca="false">IF(COUNTA(A647:D647)=0,"",IF(COUNTA(A647:C647)&lt;3,"⚠未入力",IF(OR(A647&lt;設定!$C$8,A647&gt;設定!$C$9),"⚠期間外",IF(COUNTIF(設定!$B$15:$B$29,B647)=0,"⚠項目不明",""))))</f>
        <v/>
      </c>
    </row>
    <row r="648" customFormat="false" ht="15" hidden="false" customHeight="false" outlineLevel="0" collapsed="false">
      <c r="A648" s="30"/>
      <c r="B648" s="31"/>
      <c r="C648" s="32"/>
      <c r="D648" s="31"/>
      <c r="E648" s="33" t="str">
        <f aca="false">IF(COUNTA(A648:D648)=0,"",IF(COUNTA(A648:C648)&lt;3,"⚠未入力",IF(OR(A648&lt;設定!$C$8,A648&gt;設定!$C$9),"⚠期間外",IF(COUNTIF(設定!$B$15:$B$29,B648)=0,"⚠項目不明",""))))</f>
        <v/>
      </c>
    </row>
    <row r="649" customFormat="false" ht="15" hidden="false" customHeight="false" outlineLevel="0" collapsed="false">
      <c r="A649" s="30"/>
      <c r="B649" s="31"/>
      <c r="C649" s="32"/>
      <c r="D649" s="31"/>
      <c r="E649" s="33" t="str">
        <f aca="false">IF(COUNTA(A649:D649)=0,"",IF(COUNTA(A649:C649)&lt;3,"⚠未入力",IF(OR(A649&lt;設定!$C$8,A649&gt;設定!$C$9),"⚠期間外",IF(COUNTIF(設定!$B$15:$B$29,B649)=0,"⚠項目不明",""))))</f>
        <v/>
      </c>
    </row>
    <row r="650" customFormat="false" ht="15" hidden="false" customHeight="false" outlineLevel="0" collapsed="false">
      <c r="A650" s="30"/>
      <c r="B650" s="31"/>
      <c r="C650" s="32"/>
      <c r="D650" s="31"/>
      <c r="E650" s="33" t="str">
        <f aca="false">IF(COUNTA(A650:D650)=0,"",IF(COUNTA(A650:C650)&lt;3,"⚠未入力",IF(OR(A650&lt;設定!$C$8,A650&gt;設定!$C$9),"⚠期間外",IF(COUNTIF(設定!$B$15:$B$29,B650)=0,"⚠項目不明",""))))</f>
        <v/>
      </c>
    </row>
    <row r="651" customFormat="false" ht="15" hidden="false" customHeight="false" outlineLevel="0" collapsed="false">
      <c r="A651" s="30"/>
      <c r="B651" s="31"/>
      <c r="C651" s="32"/>
      <c r="D651" s="31"/>
      <c r="E651" s="33" t="str">
        <f aca="false">IF(COUNTA(A651:D651)=0,"",IF(COUNTA(A651:C651)&lt;3,"⚠未入力",IF(OR(A651&lt;設定!$C$8,A651&gt;設定!$C$9),"⚠期間外",IF(COUNTIF(設定!$B$15:$B$29,B651)=0,"⚠項目不明",""))))</f>
        <v/>
      </c>
    </row>
    <row r="652" customFormat="false" ht="15" hidden="false" customHeight="false" outlineLevel="0" collapsed="false">
      <c r="A652" s="30"/>
      <c r="B652" s="31"/>
      <c r="C652" s="32"/>
      <c r="D652" s="31"/>
      <c r="E652" s="33" t="str">
        <f aca="false">IF(COUNTA(A652:D652)=0,"",IF(COUNTA(A652:C652)&lt;3,"⚠未入力",IF(OR(A652&lt;設定!$C$8,A652&gt;設定!$C$9),"⚠期間外",IF(COUNTIF(設定!$B$15:$B$29,B652)=0,"⚠項目不明",""))))</f>
        <v/>
      </c>
    </row>
    <row r="653" customFormat="false" ht="15" hidden="false" customHeight="false" outlineLevel="0" collapsed="false">
      <c r="A653" s="30"/>
      <c r="B653" s="31"/>
      <c r="C653" s="32"/>
      <c r="D653" s="31"/>
      <c r="E653" s="33" t="str">
        <f aca="false">IF(COUNTA(A653:D653)=0,"",IF(COUNTA(A653:C653)&lt;3,"⚠未入力",IF(OR(A653&lt;設定!$C$8,A653&gt;設定!$C$9),"⚠期間外",IF(COUNTIF(設定!$B$15:$B$29,B653)=0,"⚠項目不明",""))))</f>
        <v/>
      </c>
    </row>
    <row r="654" customFormat="false" ht="15" hidden="false" customHeight="false" outlineLevel="0" collapsed="false">
      <c r="A654" s="30"/>
      <c r="B654" s="31"/>
      <c r="C654" s="32"/>
      <c r="D654" s="31"/>
      <c r="E654" s="33" t="str">
        <f aca="false">IF(COUNTA(A654:D654)=0,"",IF(COUNTA(A654:C654)&lt;3,"⚠未入力",IF(OR(A654&lt;設定!$C$8,A654&gt;設定!$C$9),"⚠期間外",IF(COUNTIF(設定!$B$15:$B$29,B654)=0,"⚠項目不明",""))))</f>
        <v/>
      </c>
    </row>
    <row r="655" customFormat="false" ht="15" hidden="false" customHeight="false" outlineLevel="0" collapsed="false">
      <c r="A655" s="30"/>
      <c r="B655" s="31"/>
      <c r="C655" s="32"/>
      <c r="D655" s="31"/>
      <c r="E655" s="33" t="str">
        <f aca="false">IF(COUNTA(A655:D655)=0,"",IF(COUNTA(A655:C655)&lt;3,"⚠未入力",IF(OR(A655&lt;設定!$C$8,A655&gt;設定!$C$9),"⚠期間外",IF(COUNTIF(設定!$B$15:$B$29,B655)=0,"⚠項目不明",""))))</f>
        <v/>
      </c>
    </row>
    <row r="656" customFormat="false" ht="15" hidden="false" customHeight="false" outlineLevel="0" collapsed="false">
      <c r="A656" s="30"/>
      <c r="B656" s="31"/>
      <c r="C656" s="32"/>
      <c r="D656" s="31"/>
      <c r="E656" s="33" t="str">
        <f aca="false">IF(COUNTA(A656:D656)=0,"",IF(COUNTA(A656:C656)&lt;3,"⚠未入力",IF(OR(A656&lt;設定!$C$8,A656&gt;設定!$C$9),"⚠期間外",IF(COUNTIF(設定!$B$15:$B$29,B656)=0,"⚠項目不明",""))))</f>
        <v/>
      </c>
    </row>
    <row r="657" customFormat="false" ht="15" hidden="false" customHeight="false" outlineLevel="0" collapsed="false">
      <c r="A657" s="30"/>
      <c r="B657" s="31"/>
      <c r="C657" s="32"/>
      <c r="D657" s="31"/>
      <c r="E657" s="33" t="str">
        <f aca="false">IF(COUNTA(A657:D657)=0,"",IF(COUNTA(A657:C657)&lt;3,"⚠未入力",IF(OR(A657&lt;設定!$C$8,A657&gt;設定!$C$9),"⚠期間外",IF(COUNTIF(設定!$B$15:$B$29,B657)=0,"⚠項目不明",""))))</f>
        <v/>
      </c>
    </row>
    <row r="658" customFormat="false" ht="15" hidden="false" customHeight="false" outlineLevel="0" collapsed="false">
      <c r="A658" s="30"/>
      <c r="B658" s="31"/>
      <c r="C658" s="32"/>
      <c r="D658" s="31"/>
      <c r="E658" s="33" t="str">
        <f aca="false">IF(COUNTA(A658:D658)=0,"",IF(COUNTA(A658:C658)&lt;3,"⚠未入力",IF(OR(A658&lt;設定!$C$8,A658&gt;設定!$C$9),"⚠期間外",IF(COUNTIF(設定!$B$15:$B$29,B658)=0,"⚠項目不明",""))))</f>
        <v/>
      </c>
    </row>
    <row r="659" customFormat="false" ht="15" hidden="false" customHeight="false" outlineLevel="0" collapsed="false">
      <c r="A659" s="30"/>
      <c r="B659" s="31"/>
      <c r="C659" s="32"/>
      <c r="D659" s="31"/>
      <c r="E659" s="33" t="str">
        <f aca="false">IF(COUNTA(A659:D659)=0,"",IF(COUNTA(A659:C659)&lt;3,"⚠未入力",IF(OR(A659&lt;設定!$C$8,A659&gt;設定!$C$9),"⚠期間外",IF(COUNTIF(設定!$B$15:$B$29,B659)=0,"⚠項目不明",""))))</f>
        <v/>
      </c>
    </row>
    <row r="660" customFormat="false" ht="15" hidden="false" customHeight="false" outlineLevel="0" collapsed="false">
      <c r="A660" s="30"/>
      <c r="B660" s="31"/>
      <c r="C660" s="32"/>
      <c r="D660" s="31"/>
      <c r="E660" s="33" t="str">
        <f aca="false">IF(COUNTA(A660:D660)=0,"",IF(COUNTA(A660:C660)&lt;3,"⚠未入力",IF(OR(A660&lt;設定!$C$8,A660&gt;設定!$C$9),"⚠期間外",IF(COUNTIF(設定!$B$15:$B$29,B660)=0,"⚠項目不明",""))))</f>
        <v/>
      </c>
    </row>
    <row r="661" customFormat="false" ht="15" hidden="false" customHeight="false" outlineLevel="0" collapsed="false">
      <c r="A661" s="30"/>
      <c r="B661" s="31"/>
      <c r="C661" s="32"/>
      <c r="D661" s="31"/>
      <c r="E661" s="33" t="str">
        <f aca="false">IF(COUNTA(A661:D661)=0,"",IF(COUNTA(A661:C661)&lt;3,"⚠未入力",IF(OR(A661&lt;設定!$C$8,A661&gt;設定!$C$9),"⚠期間外",IF(COUNTIF(設定!$B$15:$B$29,B661)=0,"⚠項目不明",""))))</f>
        <v/>
      </c>
    </row>
    <row r="662" customFormat="false" ht="15" hidden="false" customHeight="false" outlineLevel="0" collapsed="false">
      <c r="A662" s="30"/>
      <c r="B662" s="31"/>
      <c r="C662" s="32"/>
      <c r="D662" s="31"/>
      <c r="E662" s="33" t="str">
        <f aca="false">IF(COUNTA(A662:D662)=0,"",IF(COUNTA(A662:C662)&lt;3,"⚠未入力",IF(OR(A662&lt;設定!$C$8,A662&gt;設定!$C$9),"⚠期間外",IF(COUNTIF(設定!$B$15:$B$29,B662)=0,"⚠項目不明",""))))</f>
        <v/>
      </c>
    </row>
    <row r="663" customFormat="false" ht="15" hidden="false" customHeight="false" outlineLevel="0" collapsed="false">
      <c r="A663" s="30"/>
      <c r="B663" s="31"/>
      <c r="C663" s="32"/>
      <c r="D663" s="31"/>
      <c r="E663" s="33" t="str">
        <f aca="false">IF(COUNTA(A663:D663)=0,"",IF(COUNTA(A663:C663)&lt;3,"⚠未入力",IF(OR(A663&lt;設定!$C$8,A663&gt;設定!$C$9),"⚠期間外",IF(COUNTIF(設定!$B$15:$B$29,B663)=0,"⚠項目不明",""))))</f>
        <v/>
      </c>
    </row>
    <row r="664" customFormat="false" ht="15" hidden="false" customHeight="false" outlineLevel="0" collapsed="false">
      <c r="A664" s="30"/>
      <c r="B664" s="31"/>
      <c r="C664" s="32"/>
      <c r="D664" s="31"/>
      <c r="E664" s="33" t="str">
        <f aca="false">IF(COUNTA(A664:D664)=0,"",IF(COUNTA(A664:C664)&lt;3,"⚠未入力",IF(OR(A664&lt;設定!$C$8,A664&gt;設定!$C$9),"⚠期間外",IF(COUNTIF(設定!$B$15:$B$29,B664)=0,"⚠項目不明",""))))</f>
        <v/>
      </c>
    </row>
    <row r="665" customFormat="false" ht="15" hidden="false" customHeight="false" outlineLevel="0" collapsed="false">
      <c r="A665" s="30"/>
      <c r="B665" s="31"/>
      <c r="C665" s="32"/>
      <c r="D665" s="31"/>
      <c r="E665" s="33" t="str">
        <f aca="false">IF(COUNTA(A665:D665)=0,"",IF(COUNTA(A665:C665)&lt;3,"⚠未入力",IF(OR(A665&lt;設定!$C$8,A665&gt;設定!$C$9),"⚠期間外",IF(COUNTIF(設定!$B$15:$B$29,B665)=0,"⚠項目不明",""))))</f>
        <v/>
      </c>
    </row>
    <row r="666" customFormat="false" ht="15" hidden="false" customHeight="false" outlineLevel="0" collapsed="false">
      <c r="A666" s="30"/>
      <c r="B666" s="31"/>
      <c r="C666" s="32"/>
      <c r="D666" s="31"/>
      <c r="E666" s="33" t="str">
        <f aca="false">IF(COUNTA(A666:D666)=0,"",IF(COUNTA(A666:C666)&lt;3,"⚠未入力",IF(OR(A666&lt;設定!$C$8,A666&gt;設定!$C$9),"⚠期間外",IF(COUNTIF(設定!$B$15:$B$29,B666)=0,"⚠項目不明",""))))</f>
        <v/>
      </c>
    </row>
    <row r="667" customFormat="false" ht="15" hidden="false" customHeight="false" outlineLevel="0" collapsed="false">
      <c r="A667" s="30"/>
      <c r="B667" s="31"/>
      <c r="C667" s="32"/>
      <c r="D667" s="31"/>
      <c r="E667" s="33" t="str">
        <f aca="false">IF(COUNTA(A667:D667)=0,"",IF(COUNTA(A667:C667)&lt;3,"⚠未入力",IF(OR(A667&lt;設定!$C$8,A667&gt;設定!$C$9),"⚠期間外",IF(COUNTIF(設定!$B$15:$B$29,B667)=0,"⚠項目不明",""))))</f>
        <v/>
      </c>
    </row>
    <row r="668" customFormat="false" ht="15" hidden="false" customHeight="false" outlineLevel="0" collapsed="false">
      <c r="A668" s="30"/>
      <c r="B668" s="31"/>
      <c r="C668" s="32"/>
      <c r="D668" s="31"/>
      <c r="E668" s="33" t="str">
        <f aca="false">IF(COUNTA(A668:D668)=0,"",IF(COUNTA(A668:C668)&lt;3,"⚠未入力",IF(OR(A668&lt;設定!$C$8,A668&gt;設定!$C$9),"⚠期間外",IF(COUNTIF(設定!$B$15:$B$29,B668)=0,"⚠項目不明",""))))</f>
        <v/>
      </c>
    </row>
    <row r="669" customFormat="false" ht="15" hidden="false" customHeight="false" outlineLevel="0" collapsed="false">
      <c r="A669" s="30"/>
      <c r="B669" s="31"/>
      <c r="C669" s="32"/>
      <c r="D669" s="31"/>
      <c r="E669" s="33" t="str">
        <f aca="false">IF(COUNTA(A669:D669)=0,"",IF(COUNTA(A669:C669)&lt;3,"⚠未入力",IF(OR(A669&lt;設定!$C$8,A669&gt;設定!$C$9),"⚠期間外",IF(COUNTIF(設定!$B$15:$B$29,B669)=0,"⚠項目不明",""))))</f>
        <v/>
      </c>
    </row>
    <row r="670" customFormat="false" ht="15" hidden="false" customHeight="false" outlineLevel="0" collapsed="false">
      <c r="A670" s="30"/>
      <c r="B670" s="31"/>
      <c r="C670" s="32"/>
      <c r="D670" s="31"/>
      <c r="E670" s="33" t="str">
        <f aca="false">IF(COUNTA(A670:D670)=0,"",IF(COUNTA(A670:C670)&lt;3,"⚠未入力",IF(OR(A670&lt;設定!$C$8,A670&gt;設定!$C$9),"⚠期間外",IF(COUNTIF(設定!$B$15:$B$29,B670)=0,"⚠項目不明",""))))</f>
        <v/>
      </c>
    </row>
    <row r="671" customFormat="false" ht="15" hidden="false" customHeight="false" outlineLevel="0" collapsed="false">
      <c r="A671" s="30"/>
      <c r="B671" s="31"/>
      <c r="C671" s="32"/>
      <c r="D671" s="31"/>
      <c r="E671" s="33" t="str">
        <f aca="false">IF(COUNTA(A671:D671)=0,"",IF(COUNTA(A671:C671)&lt;3,"⚠未入力",IF(OR(A671&lt;設定!$C$8,A671&gt;設定!$C$9),"⚠期間外",IF(COUNTIF(設定!$B$15:$B$29,B671)=0,"⚠項目不明",""))))</f>
        <v/>
      </c>
    </row>
    <row r="672" customFormat="false" ht="15" hidden="false" customHeight="false" outlineLevel="0" collapsed="false">
      <c r="A672" s="30"/>
      <c r="B672" s="31"/>
      <c r="C672" s="32"/>
      <c r="D672" s="31"/>
      <c r="E672" s="33" t="str">
        <f aca="false">IF(COUNTA(A672:D672)=0,"",IF(COUNTA(A672:C672)&lt;3,"⚠未入力",IF(OR(A672&lt;設定!$C$8,A672&gt;設定!$C$9),"⚠期間外",IF(COUNTIF(設定!$B$15:$B$29,B672)=0,"⚠項目不明",""))))</f>
        <v/>
      </c>
    </row>
    <row r="673" customFormat="false" ht="15" hidden="false" customHeight="false" outlineLevel="0" collapsed="false">
      <c r="A673" s="30"/>
      <c r="B673" s="31"/>
      <c r="C673" s="32"/>
      <c r="D673" s="31"/>
      <c r="E673" s="33" t="str">
        <f aca="false">IF(COUNTA(A673:D673)=0,"",IF(COUNTA(A673:C673)&lt;3,"⚠未入力",IF(OR(A673&lt;設定!$C$8,A673&gt;設定!$C$9),"⚠期間外",IF(COUNTIF(設定!$B$15:$B$29,B673)=0,"⚠項目不明",""))))</f>
        <v/>
      </c>
    </row>
    <row r="674" customFormat="false" ht="15" hidden="false" customHeight="false" outlineLevel="0" collapsed="false">
      <c r="A674" s="30"/>
      <c r="B674" s="31"/>
      <c r="C674" s="32"/>
      <c r="D674" s="31"/>
      <c r="E674" s="33" t="str">
        <f aca="false">IF(COUNTA(A674:D674)=0,"",IF(COUNTA(A674:C674)&lt;3,"⚠未入力",IF(OR(A674&lt;設定!$C$8,A674&gt;設定!$C$9),"⚠期間外",IF(COUNTIF(設定!$B$15:$B$29,B674)=0,"⚠項目不明",""))))</f>
        <v/>
      </c>
    </row>
    <row r="675" customFormat="false" ht="15" hidden="false" customHeight="false" outlineLevel="0" collapsed="false">
      <c r="A675" s="30"/>
      <c r="B675" s="31"/>
      <c r="C675" s="32"/>
      <c r="D675" s="31"/>
      <c r="E675" s="33" t="str">
        <f aca="false">IF(COUNTA(A675:D675)=0,"",IF(COUNTA(A675:C675)&lt;3,"⚠未入力",IF(OR(A675&lt;設定!$C$8,A675&gt;設定!$C$9),"⚠期間外",IF(COUNTIF(設定!$B$15:$B$29,B675)=0,"⚠項目不明",""))))</f>
        <v/>
      </c>
    </row>
    <row r="676" customFormat="false" ht="15" hidden="false" customHeight="false" outlineLevel="0" collapsed="false">
      <c r="A676" s="30"/>
      <c r="B676" s="31"/>
      <c r="C676" s="32"/>
      <c r="D676" s="31"/>
      <c r="E676" s="33" t="str">
        <f aca="false">IF(COUNTA(A676:D676)=0,"",IF(COUNTA(A676:C676)&lt;3,"⚠未入力",IF(OR(A676&lt;設定!$C$8,A676&gt;設定!$C$9),"⚠期間外",IF(COUNTIF(設定!$B$15:$B$29,B676)=0,"⚠項目不明",""))))</f>
        <v/>
      </c>
    </row>
    <row r="677" customFormat="false" ht="15" hidden="false" customHeight="false" outlineLevel="0" collapsed="false">
      <c r="A677" s="30"/>
      <c r="B677" s="31"/>
      <c r="C677" s="32"/>
      <c r="D677" s="31"/>
      <c r="E677" s="33" t="str">
        <f aca="false">IF(COUNTA(A677:D677)=0,"",IF(COUNTA(A677:C677)&lt;3,"⚠未入力",IF(OR(A677&lt;設定!$C$8,A677&gt;設定!$C$9),"⚠期間外",IF(COUNTIF(設定!$B$15:$B$29,B677)=0,"⚠項目不明",""))))</f>
        <v/>
      </c>
    </row>
    <row r="678" customFormat="false" ht="15" hidden="false" customHeight="false" outlineLevel="0" collapsed="false">
      <c r="A678" s="30"/>
      <c r="B678" s="31"/>
      <c r="C678" s="32"/>
      <c r="D678" s="31"/>
      <c r="E678" s="33" t="str">
        <f aca="false">IF(COUNTA(A678:D678)=0,"",IF(COUNTA(A678:C678)&lt;3,"⚠未入力",IF(OR(A678&lt;設定!$C$8,A678&gt;設定!$C$9),"⚠期間外",IF(COUNTIF(設定!$B$15:$B$29,B678)=0,"⚠項目不明",""))))</f>
        <v/>
      </c>
    </row>
    <row r="679" customFormat="false" ht="15" hidden="false" customHeight="false" outlineLevel="0" collapsed="false">
      <c r="A679" s="30"/>
      <c r="B679" s="31"/>
      <c r="C679" s="32"/>
      <c r="D679" s="31"/>
      <c r="E679" s="33" t="str">
        <f aca="false">IF(COUNTA(A679:D679)=0,"",IF(COUNTA(A679:C679)&lt;3,"⚠未入力",IF(OR(A679&lt;設定!$C$8,A679&gt;設定!$C$9),"⚠期間外",IF(COUNTIF(設定!$B$15:$B$29,B679)=0,"⚠項目不明",""))))</f>
        <v/>
      </c>
    </row>
    <row r="680" customFormat="false" ht="15" hidden="false" customHeight="false" outlineLevel="0" collapsed="false">
      <c r="A680" s="30"/>
      <c r="B680" s="31"/>
      <c r="C680" s="32"/>
      <c r="D680" s="31"/>
      <c r="E680" s="33" t="str">
        <f aca="false">IF(COUNTA(A680:D680)=0,"",IF(COUNTA(A680:C680)&lt;3,"⚠未入力",IF(OR(A680&lt;設定!$C$8,A680&gt;設定!$C$9),"⚠期間外",IF(COUNTIF(設定!$B$15:$B$29,B680)=0,"⚠項目不明",""))))</f>
        <v/>
      </c>
    </row>
    <row r="681" customFormat="false" ht="15" hidden="false" customHeight="false" outlineLevel="0" collapsed="false">
      <c r="A681" s="30"/>
      <c r="B681" s="31"/>
      <c r="C681" s="32"/>
      <c r="D681" s="31"/>
      <c r="E681" s="33" t="str">
        <f aca="false">IF(COUNTA(A681:D681)=0,"",IF(COUNTA(A681:C681)&lt;3,"⚠未入力",IF(OR(A681&lt;設定!$C$8,A681&gt;設定!$C$9),"⚠期間外",IF(COUNTIF(設定!$B$15:$B$29,B681)=0,"⚠項目不明",""))))</f>
        <v/>
      </c>
    </row>
    <row r="682" customFormat="false" ht="15" hidden="false" customHeight="false" outlineLevel="0" collapsed="false">
      <c r="A682" s="30"/>
      <c r="B682" s="31"/>
      <c r="C682" s="32"/>
      <c r="D682" s="31"/>
      <c r="E682" s="33" t="str">
        <f aca="false">IF(COUNTA(A682:D682)=0,"",IF(COUNTA(A682:C682)&lt;3,"⚠未入力",IF(OR(A682&lt;設定!$C$8,A682&gt;設定!$C$9),"⚠期間外",IF(COUNTIF(設定!$B$15:$B$29,B682)=0,"⚠項目不明",""))))</f>
        <v/>
      </c>
    </row>
    <row r="683" customFormat="false" ht="15" hidden="false" customHeight="false" outlineLevel="0" collapsed="false">
      <c r="A683" s="30"/>
      <c r="B683" s="31"/>
      <c r="C683" s="32"/>
      <c r="D683" s="31"/>
      <c r="E683" s="33" t="str">
        <f aca="false">IF(COUNTA(A683:D683)=0,"",IF(COUNTA(A683:C683)&lt;3,"⚠未入力",IF(OR(A683&lt;設定!$C$8,A683&gt;設定!$C$9),"⚠期間外",IF(COUNTIF(設定!$B$15:$B$29,B683)=0,"⚠項目不明",""))))</f>
        <v/>
      </c>
    </row>
    <row r="684" customFormat="false" ht="15" hidden="false" customHeight="false" outlineLevel="0" collapsed="false">
      <c r="A684" s="30"/>
      <c r="B684" s="31"/>
      <c r="C684" s="32"/>
      <c r="D684" s="31"/>
      <c r="E684" s="33" t="str">
        <f aca="false">IF(COUNTA(A684:D684)=0,"",IF(COUNTA(A684:C684)&lt;3,"⚠未入力",IF(OR(A684&lt;設定!$C$8,A684&gt;設定!$C$9),"⚠期間外",IF(COUNTIF(設定!$B$15:$B$29,B684)=0,"⚠項目不明",""))))</f>
        <v/>
      </c>
    </row>
    <row r="685" customFormat="false" ht="15" hidden="false" customHeight="false" outlineLevel="0" collapsed="false">
      <c r="A685" s="30"/>
      <c r="B685" s="31"/>
      <c r="C685" s="32"/>
      <c r="D685" s="31"/>
      <c r="E685" s="33" t="str">
        <f aca="false">IF(COUNTA(A685:D685)=0,"",IF(COUNTA(A685:C685)&lt;3,"⚠未入力",IF(OR(A685&lt;設定!$C$8,A685&gt;設定!$C$9),"⚠期間外",IF(COUNTIF(設定!$B$15:$B$29,B685)=0,"⚠項目不明",""))))</f>
        <v/>
      </c>
    </row>
    <row r="686" customFormat="false" ht="15" hidden="false" customHeight="false" outlineLevel="0" collapsed="false">
      <c r="A686" s="30"/>
      <c r="B686" s="31"/>
      <c r="C686" s="32"/>
      <c r="D686" s="31"/>
      <c r="E686" s="33" t="str">
        <f aca="false">IF(COUNTA(A686:D686)=0,"",IF(COUNTA(A686:C686)&lt;3,"⚠未入力",IF(OR(A686&lt;設定!$C$8,A686&gt;設定!$C$9),"⚠期間外",IF(COUNTIF(設定!$B$15:$B$29,B686)=0,"⚠項目不明",""))))</f>
        <v/>
      </c>
    </row>
    <row r="687" customFormat="false" ht="15" hidden="false" customHeight="false" outlineLevel="0" collapsed="false">
      <c r="A687" s="30"/>
      <c r="B687" s="31"/>
      <c r="C687" s="32"/>
      <c r="D687" s="31"/>
      <c r="E687" s="33" t="str">
        <f aca="false">IF(COUNTA(A687:D687)=0,"",IF(COUNTA(A687:C687)&lt;3,"⚠未入力",IF(OR(A687&lt;設定!$C$8,A687&gt;設定!$C$9),"⚠期間外",IF(COUNTIF(設定!$B$15:$B$29,B687)=0,"⚠項目不明",""))))</f>
        <v/>
      </c>
    </row>
    <row r="688" customFormat="false" ht="15" hidden="false" customHeight="false" outlineLevel="0" collapsed="false">
      <c r="A688" s="30"/>
      <c r="B688" s="31"/>
      <c r="C688" s="32"/>
      <c r="D688" s="31"/>
      <c r="E688" s="33" t="str">
        <f aca="false">IF(COUNTA(A688:D688)=0,"",IF(COUNTA(A688:C688)&lt;3,"⚠未入力",IF(OR(A688&lt;設定!$C$8,A688&gt;設定!$C$9),"⚠期間外",IF(COUNTIF(設定!$B$15:$B$29,B688)=0,"⚠項目不明",""))))</f>
        <v/>
      </c>
    </row>
    <row r="689" customFormat="false" ht="15" hidden="false" customHeight="false" outlineLevel="0" collapsed="false">
      <c r="A689" s="30"/>
      <c r="B689" s="31"/>
      <c r="C689" s="32"/>
      <c r="D689" s="31"/>
      <c r="E689" s="33" t="str">
        <f aca="false">IF(COUNTA(A689:D689)=0,"",IF(COUNTA(A689:C689)&lt;3,"⚠未入力",IF(OR(A689&lt;設定!$C$8,A689&gt;設定!$C$9),"⚠期間外",IF(COUNTIF(設定!$B$15:$B$29,B689)=0,"⚠項目不明",""))))</f>
        <v/>
      </c>
    </row>
    <row r="690" customFormat="false" ht="15" hidden="false" customHeight="false" outlineLevel="0" collapsed="false">
      <c r="A690" s="30"/>
      <c r="B690" s="31"/>
      <c r="C690" s="32"/>
      <c r="D690" s="31"/>
      <c r="E690" s="33" t="str">
        <f aca="false">IF(COUNTA(A690:D690)=0,"",IF(COUNTA(A690:C690)&lt;3,"⚠未入力",IF(OR(A690&lt;設定!$C$8,A690&gt;設定!$C$9),"⚠期間外",IF(COUNTIF(設定!$B$15:$B$29,B690)=0,"⚠項目不明",""))))</f>
        <v/>
      </c>
    </row>
    <row r="691" customFormat="false" ht="15" hidden="false" customHeight="false" outlineLevel="0" collapsed="false">
      <c r="A691" s="30"/>
      <c r="B691" s="31"/>
      <c r="C691" s="32"/>
      <c r="D691" s="31"/>
      <c r="E691" s="33" t="str">
        <f aca="false">IF(COUNTA(A691:D691)=0,"",IF(COUNTA(A691:C691)&lt;3,"⚠未入力",IF(OR(A691&lt;設定!$C$8,A691&gt;設定!$C$9),"⚠期間外",IF(COUNTIF(設定!$B$15:$B$29,B691)=0,"⚠項目不明",""))))</f>
        <v/>
      </c>
    </row>
    <row r="692" customFormat="false" ht="15" hidden="false" customHeight="false" outlineLevel="0" collapsed="false">
      <c r="A692" s="30"/>
      <c r="B692" s="31"/>
      <c r="C692" s="32"/>
      <c r="D692" s="31"/>
      <c r="E692" s="33" t="str">
        <f aca="false">IF(COUNTA(A692:D692)=0,"",IF(COUNTA(A692:C692)&lt;3,"⚠未入力",IF(OR(A692&lt;設定!$C$8,A692&gt;設定!$C$9),"⚠期間外",IF(COUNTIF(設定!$B$15:$B$29,B692)=0,"⚠項目不明",""))))</f>
        <v/>
      </c>
    </row>
    <row r="693" customFormat="false" ht="15" hidden="false" customHeight="false" outlineLevel="0" collapsed="false">
      <c r="A693" s="30"/>
      <c r="B693" s="31"/>
      <c r="C693" s="32"/>
      <c r="D693" s="31"/>
      <c r="E693" s="33" t="str">
        <f aca="false">IF(COUNTA(A693:D693)=0,"",IF(COUNTA(A693:C693)&lt;3,"⚠未入力",IF(OR(A693&lt;設定!$C$8,A693&gt;設定!$C$9),"⚠期間外",IF(COUNTIF(設定!$B$15:$B$29,B693)=0,"⚠項目不明",""))))</f>
        <v/>
      </c>
    </row>
    <row r="694" customFormat="false" ht="15" hidden="false" customHeight="false" outlineLevel="0" collapsed="false">
      <c r="A694" s="30"/>
      <c r="B694" s="31"/>
      <c r="C694" s="32"/>
      <c r="D694" s="31"/>
      <c r="E694" s="33" t="str">
        <f aca="false">IF(COUNTA(A694:D694)=0,"",IF(COUNTA(A694:C694)&lt;3,"⚠未入力",IF(OR(A694&lt;設定!$C$8,A694&gt;設定!$C$9),"⚠期間外",IF(COUNTIF(設定!$B$15:$B$29,B694)=0,"⚠項目不明",""))))</f>
        <v/>
      </c>
    </row>
    <row r="695" customFormat="false" ht="15" hidden="false" customHeight="false" outlineLevel="0" collapsed="false">
      <c r="A695" s="30"/>
      <c r="B695" s="31"/>
      <c r="C695" s="32"/>
      <c r="D695" s="31"/>
      <c r="E695" s="33" t="str">
        <f aca="false">IF(COUNTA(A695:D695)=0,"",IF(COUNTA(A695:C695)&lt;3,"⚠未入力",IF(OR(A695&lt;設定!$C$8,A695&gt;設定!$C$9),"⚠期間外",IF(COUNTIF(設定!$B$15:$B$29,B695)=0,"⚠項目不明",""))))</f>
        <v/>
      </c>
    </row>
    <row r="696" customFormat="false" ht="15" hidden="false" customHeight="false" outlineLevel="0" collapsed="false">
      <c r="A696" s="30"/>
      <c r="B696" s="31"/>
      <c r="C696" s="32"/>
      <c r="D696" s="31"/>
      <c r="E696" s="33" t="str">
        <f aca="false">IF(COUNTA(A696:D696)=0,"",IF(COUNTA(A696:C696)&lt;3,"⚠未入力",IF(OR(A696&lt;設定!$C$8,A696&gt;設定!$C$9),"⚠期間外",IF(COUNTIF(設定!$B$15:$B$29,B696)=0,"⚠項目不明",""))))</f>
        <v/>
      </c>
    </row>
    <row r="697" customFormat="false" ht="15" hidden="false" customHeight="false" outlineLevel="0" collapsed="false">
      <c r="A697" s="30"/>
      <c r="B697" s="31"/>
      <c r="C697" s="32"/>
      <c r="D697" s="31"/>
      <c r="E697" s="33" t="str">
        <f aca="false">IF(COUNTA(A697:D697)=0,"",IF(COUNTA(A697:C697)&lt;3,"⚠未入力",IF(OR(A697&lt;設定!$C$8,A697&gt;設定!$C$9),"⚠期間外",IF(COUNTIF(設定!$B$15:$B$29,B697)=0,"⚠項目不明",""))))</f>
        <v/>
      </c>
    </row>
    <row r="698" customFormat="false" ht="15" hidden="false" customHeight="false" outlineLevel="0" collapsed="false">
      <c r="A698" s="30"/>
      <c r="B698" s="31"/>
      <c r="C698" s="32"/>
      <c r="D698" s="31"/>
      <c r="E698" s="33" t="str">
        <f aca="false">IF(COUNTA(A698:D698)=0,"",IF(COUNTA(A698:C698)&lt;3,"⚠未入力",IF(OR(A698&lt;設定!$C$8,A698&gt;設定!$C$9),"⚠期間外",IF(COUNTIF(設定!$B$15:$B$29,B698)=0,"⚠項目不明",""))))</f>
        <v/>
      </c>
    </row>
    <row r="699" customFormat="false" ht="15" hidden="false" customHeight="false" outlineLevel="0" collapsed="false">
      <c r="A699" s="30"/>
      <c r="B699" s="31"/>
      <c r="C699" s="32"/>
      <c r="D699" s="31"/>
      <c r="E699" s="33" t="str">
        <f aca="false">IF(COUNTA(A699:D699)=0,"",IF(COUNTA(A699:C699)&lt;3,"⚠未入力",IF(OR(A699&lt;設定!$C$8,A699&gt;設定!$C$9),"⚠期間外",IF(COUNTIF(設定!$B$15:$B$29,B699)=0,"⚠項目不明",""))))</f>
        <v/>
      </c>
    </row>
    <row r="700" customFormat="false" ht="15" hidden="false" customHeight="false" outlineLevel="0" collapsed="false">
      <c r="A700" s="30"/>
      <c r="B700" s="31"/>
      <c r="C700" s="32"/>
      <c r="D700" s="31"/>
      <c r="E700" s="33" t="str">
        <f aca="false">IF(COUNTA(A700:D700)=0,"",IF(COUNTA(A700:C700)&lt;3,"⚠未入力",IF(OR(A700&lt;設定!$C$8,A700&gt;設定!$C$9),"⚠期間外",IF(COUNTIF(設定!$B$15:$B$29,B700)=0,"⚠項目不明",""))))</f>
        <v/>
      </c>
    </row>
    <row r="701" customFormat="false" ht="15" hidden="false" customHeight="false" outlineLevel="0" collapsed="false">
      <c r="A701" s="30"/>
      <c r="B701" s="31"/>
      <c r="C701" s="32"/>
      <c r="D701" s="31"/>
      <c r="E701" s="33" t="str">
        <f aca="false">IF(COUNTA(A701:D701)=0,"",IF(COUNTA(A701:C701)&lt;3,"⚠未入力",IF(OR(A701&lt;設定!$C$8,A701&gt;設定!$C$9),"⚠期間外",IF(COUNTIF(設定!$B$15:$B$29,B701)=0,"⚠項目不明",""))))</f>
        <v/>
      </c>
    </row>
    <row r="702" customFormat="false" ht="15" hidden="false" customHeight="false" outlineLevel="0" collapsed="false">
      <c r="A702" s="30"/>
      <c r="B702" s="31"/>
      <c r="C702" s="32"/>
      <c r="D702" s="31"/>
      <c r="E702" s="33" t="str">
        <f aca="false">IF(COUNTA(A702:D702)=0,"",IF(COUNTA(A702:C702)&lt;3,"⚠未入力",IF(OR(A702&lt;設定!$C$8,A702&gt;設定!$C$9),"⚠期間外",IF(COUNTIF(設定!$B$15:$B$29,B702)=0,"⚠項目不明",""))))</f>
        <v/>
      </c>
    </row>
    <row r="703" customFormat="false" ht="15" hidden="false" customHeight="false" outlineLevel="0" collapsed="false">
      <c r="A703" s="30"/>
      <c r="B703" s="31"/>
      <c r="C703" s="32"/>
      <c r="D703" s="31"/>
      <c r="E703" s="33" t="str">
        <f aca="false">IF(COUNTA(A703:D703)=0,"",IF(COUNTA(A703:C703)&lt;3,"⚠未入力",IF(OR(A703&lt;設定!$C$8,A703&gt;設定!$C$9),"⚠期間外",IF(COUNTIF(設定!$B$15:$B$29,B703)=0,"⚠項目不明",""))))</f>
        <v/>
      </c>
    </row>
    <row r="704" customFormat="false" ht="15" hidden="false" customHeight="false" outlineLevel="0" collapsed="false">
      <c r="A704" s="30"/>
      <c r="B704" s="31"/>
      <c r="C704" s="32"/>
      <c r="D704" s="31"/>
      <c r="E704" s="33" t="str">
        <f aca="false">IF(COUNTA(A704:D704)=0,"",IF(COUNTA(A704:C704)&lt;3,"⚠未入力",IF(OR(A704&lt;設定!$C$8,A704&gt;設定!$C$9),"⚠期間外",IF(COUNTIF(設定!$B$15:$B$29,B704)=0,"⚠項目不明",""))))</f>
        <v/>
      </c>
    </row>
    <row r="705" customFormat="false" ht="15" hidden="false" customHeight="false" outlineLevel="0" collapsed="false">
      <c r="A705" s="30"/>
      <c r="B705" s="31"/>
      <c r="C705" s="32"/>
      <c r="D705" s="31"/>
      <c r="E705" s="33" t="str">
        <f aca="false">IF(COUNTA(A705:D705)=0,"",IF(COUNTA(A705:C705)&lt;3,"⚠未入力",IF(OR(A705&lt;設定!$C$8,A705&gt;設定!$C$9),"⚠期間外",IF(COUNTIF(設定!$B$15:$B$29,B705)=0,"⚠項目不明",""))))</f>
        <v/>
      </c>
    </row>
    <row r="706" customFormat="false" ht="15" hidden="false" customHeight="false" outlineLevel="0" collapsed="false">
      <c r="A706" s="30"/>
      <c r="B706" s="31"/>
      <c r="C706" s="32"/>
      <c r="D706" s="31"/>
      <c r="E706" s="33" t="str">
        <f aca="false">IF(COUNTA(A706:D706)=0,"",IF(COUNTA(A706:C706)&lt;3,"⚠未入力",IF(OR(A706&lt;設定!$C$8,A706&gt;設定!$C$9),"⚠期間外",IF(COUNTIF(設定!$B$15:$B$29,B706)=0,"⚠項目不明",""))))</f>
        <v/>
      </c>
    </row>
    <row r="707" customFormat="false" ht="15" hidden="false" customHeight="false" outlineLevel="0" collapsed="false">
      <c r="A707" s="30"/>
      <c r="B707" s="31"/>
      <c r="C707" s="32"/>
      <c r="D707" s="31"/>
      <c r="E707" s="33" t="str">
        <f aca="false">IF(COUNTA(A707:D707)=0,"",IF(COUNTA(A707:C707)&lt;3,"⚠未入力",IF(OR(A707&lt;設定!$C$8,A707&gt;設定!$C$9),"⚠期間外",IF(COUNTIF(設定!$B$15:$B$29,B707)=0,"⚠項目不明",""))))</f>
        <v/>
      </c>
    </row>
    <row r="708" customFormat="false" ht="15" hidden="false" customHeight="false" outlineLevel="0" collapsed="false">
      <c r="A708" s="30"/>
      <c r="B708" s="31"/>
      <c r="C708" s="32"/>
      <c r="D708" s="31"/>
      <c r="E708" s="33" t="str">
        <f aca="false">IF(COUNTA(A708:D708)=0,"",IF(COUNTA(A708:C708)&lt;3,"⚠未入力",IF(OR(A708&lt;設定!$C$8,A708&gt;設定!$C$9),"⚠期間外",IF(COUNTIF(設定!$B$15:$B$29,B708)=0,"⚠項目不明",""))))</f>
        <v/>
      </c>
    </row>
    <row r="709" customFormat="false" ht="15" hidden="false" customHeight="false" outlineLevel="0" collapsed="false">
      <c r="A709" s="30"/>
      <c r="B709" s="31"/>
      <c r="C709" s="32"/>
      <c r="D709" s="31"/>
      <c r="E709" s="33" t="str">
        <f aca="false">IF(COUNTA(A709:D709)=0,"",IF(COUNTA(A709:C709)&lt;3,"⚠未入力",IF(OR(A709&lt;設定!$C$8,A709&gt;設定!$C$9),"⚠期間外",IF(COUNTIF(設定!$B$15:$B$29,B709)=0,"⚠項目不明",""))))</f>
        <v/>
      </c>
    </row>
    <row r="710" customFormat="false" ht="15" hidden="false" customHeight="false" outlineLevel="0" collapsed="false">
      <c r="A710" s="30"/>
      <c r="B710" s="31"/>
      <c r="C710" s="32"/>
      <c r="D710" s="31"/>
      <c r="E710" s="33" t="str">
        <f aca="false">IF(COUNTA(A710:D710)=0,"",IF(COUNTA(A710:C710)&lt;3,"⚠未入力",IF(OR(A710&lt;設定!$C$8,A710&gt;設定!$C$9),"⚠期間外",IF(COUNTIF(設定!$B$15:$B$29,B710)=0,"⚠項目不明",""))))</f>
        <v/>
      </c>
    </row>
    <row r="711" customFormat="false" ht="15" hidden="false" customHeight="false" outlineLevel="0" collapsed="false">
      <c r="A711" s="30"/>
      <c r="B711" s="31"/>
      <c r="C711" s="32"/>
      <c r="D711" s="31"/>
      <c r="E711" s="33" t="str">
        <f aca="false">IF(COUNTA(A711:D711)=0,"",IF(COUNTA(A711:C711)&lt;3,"⚠未入力",IF(OR(A711&lt;設定!$C$8,A711&gt;設定!$C$9),"⚠期間外",IF(COUNTIF(設定!$B$15:$B$29,B711)=0,"⚠項目不明",""))))</f>
        <v/>
      </c>
    </row>
    <row r="712" customFormat="false" ht="15" hidden="false" customHeight="false" outlineLevel="0" collapsed="false">
      <c r="A712" s="30"/>
      <c r="B712" s="31"/>
      <c r="C712" s="32"/>
      <c r="D712" s="31"/>
      <c r="E712" s="33" t="str">
        <f aca="false">IF(COUNTA(A712:D712)=0,"",IF(COUNTA(A712:C712)&lt;3,"⚠未入力",IF(OR(A712&lt;設定!$C$8,A712&gt;設定!$C$9),"⚠期間外",IF(COUNTIF(設定!$B$15:$B$29,B712)=0,"⚠項目不明",""))))</f>
        <v/>
      </c>
    </row>
    <row r="713" customFormat="false" ht="15" hidden="false" customHeight="false" outlineLevel="0" collapsed="false">
      <c r="A713" s="30"/>
      <c r="B713" s="31"/>
      <c r="C713" s="32"/>
      <c r="D713" s="31"/>
      <c r="E713" s="33" t="str">
        <f aca="false">IF(COUNTA(A713:D713)=0,"",IF(COUNTA(A713:C713)&lt;3,"⚠未入力",IF(OR(A713&lt;設定!$C$8,A713&gt;設定!$C$9),"⚠期間外",IF(COUNTIF(設定!$B$15:$B$29,B713)=0,"⚠項目不明",""))))</f>
        <v/>
      </c>
    </row>
    <row r="714" customFormat="false" ht="15" hidden="false" customHeight="false" outlineLevel="0" collapsed="false">
      <c r="A714" s="30"/>
      <c r="B714" s="31"/>
      <c r="C714" s="32"/>
      <c r="D714" s="31"/>
      <c r="E714" s="33" t="str">
        <f aca="false">IF(COUNTA(A714:D714)=0,"",IF(COUNTA(A714:C714)&lt;3,"⚠未入力",IF(OR(A714&lt;設定!$C$8,A714&gt;設定!$C$9),"⚠期間外",IF(COUNTIF(設定!$B$15:$B$29,B714)=0,"⚠項目不明",""))))</f>
        <v/>
      </c>
    </row>
    <row r="715" customFormat="false" ht="15" hidden="false" customHeight="false" outlineLevel="0" collapsed="false">
      <c r="A715" s="30"/>
      <c r="B715" s="31"/>
      <c r="C715" s="32"/>
      <c r="D715" s="31"/>
      <c r="E715" s="33" t="str">
        <f aca="false">IF(COUNTA(A715:D715)=0,"",IF(COUNTA(A715:C715)&lt;3,"⚠未入力",IF(OR(A715&lt;設定!$C$8,A715&gt;設定!$C$9),"⚠期間外",IF(COUNTIF(設定!$B$15:$B$29,B715)=0,"⚠項目不明",""))))</f>
        <v/>
      </c>
    </row>
    <row r="716" customFormat="false" ht="15" hidden="false" customHeight="false" outlineLevel="0" collapsed="false">
      <c r="A716" s="30"/>
      <c r="B716" s="31"/>
      <c r="C716" s="32"/>
      <c r="D716" s="31"/>
      <c r="E716" s="33" t="str">
        <f aca="false">IF(COUNTA(A716:D716)=0,"",IF(COUNTA(A716:C716)&lt;3,"⚠未入力",IF(OR(A716&lt;設定!$C$8,A716&gt;設定!$C$9),"⚠期間外",IF(COUNTIF(設定!$B$15:$B$29,B716)=0,"⚠項目不明",""))))</f>
        <v/>
      </c>
    </row>
    <row r="717" customFormat="false" ht="15" hidden="false" customHeight="false" outlineLevel="0" collapsed="false">
      <c r="A717" s="30"/>
      <c r="B717" s="31"/>
      <c r="C717" s="32"/>
      <c r="D717" s="31"/>
      <c r="E717" s="33" t="str">
        <f aca="false">IF(COUNTA(A717:D717)=0,"",IF(COUNTA(A717:C717)&lt;3,"⚠未入力",IF(OR(A717&lt;設定!$C$8,A717&gt;設定!$C$9),"⚠期間外",IF(COUNTIF(設定!$B$15:$B$29,B717)=0,"⚠項目不明",""))))</f>
        <v/>
      </c>
    </row>
    <row r="718" customFormat="false" ht="15" hidden="false" customHeight="false" outlineLevel="0" collapsed="false">
      <c r="A718" s="30"/>
      <c r="B718" s="31"/>
      <c r="C718" s="32"/>
      <c r="D718" s="31"/>
      <c r="E718" s="33" t="str">
        <f aca="false">IF(COUNTA(A718:D718)=0,"",IF(COUNTA(A718:C718)&lt;3,"⚠未入力",IF(OR(A718&lt;設定!$C$8,A718&gt;設定!$C$9),"⚠期間外",IF(COUNTIF(設定!$B$15:$B$29,B718)=0,"⚠項目不明",""))))</f>
        <v/>
      </c>
    </row>
    <row r="719" customFormat="false" ht="15" hidden="false" customHeight="false" outlineLevel="0" collapsed="false">
      <c r="A719" s="30"/>
      <c r="B719" s="31"/>
      <c r="C719" s="32"/>
      <c r="D719" s="31"/>
      <c r="E719" s="33" t="str">
        <f aca="false">IF(COUNTA(A719:D719)=0,"",IF(COUNTA(A719:C719)&lt;3,"⚠未入力",IF(OR(A719&lt;設定!$C$8,A719&gt;設定!$C$9),"⚠期間外",IF(COUNTIF(設定!$B$15:$B$29,B719)=0,"⚠項目不明",""))))</f>
        <v/>
      </c>
    </row>
    <row r="720" customFormat="false" ht="15" hidden="false" customHeight="false" outlineLevel="0" collapsed="false">
      <c r="A720" s="30"/>
      <c r="B720" s="31"/>
      <c r="C720" s="32"/>
      <c r="D720" s="31"/>
      <c r="E720" s="33" t="str">
        <f aca="false">IF(COUNTA(A720:D720)=0,"",IF(COUNTA(A720:C720)&lt;3,"⚠未入力",IF(OR(A720&lt;設定!$C$8,A720&gt;設定!$C$9),"⚠期間外",IF(COUNTIF(設定!$B$15:$B$29,B720)=0,"⚠項目不明",""))))</f>
        <v/>
      </c>
    </row>
    <row r="721" customFormat="false" ht="15" hidden="false" customHeight="false" outlineLevel="0" collapsed="false">
      <c r="A721" s="30"/>
      <c r="B721" s="31"/>
      <c r="C721" s="32"/>
      <c r="D721" s="31"/>
      <c r="E721" s="33" t="str">
        <f aca="false">IF(COUNTA(A721:D721)=0,"",IF(COUNTA(A721:C721)&lt;3,"⚠未入力",IF(OR(A721&lt;設定!$C$8,A721&gt;設定!$C$9),"⚠期間外",IF(COUNTIF(設定!$B$15:$B$29,B721)=0,"⚠項目不明",""))))</f>
        <v/>
      </c>
    </row>
    <row r="722" customFormat="false" ht="15" hidden="false" customHeight="false" outlineLevel="0" collapsed="false">
      <c r="A722" s="30"/>
      <c r="B722" s="31"/>
      <c r="C722" s="32"/>
      <c r="D722" s="31"/>
      <c r="E722" s="33" t="str">
        <f aca="false">IF(COUNTA(A722:D722)=0,"",IF(COUNTA(A722:C722)&lt;3,"⚠未入力",IF(OR(A722&lt;設定!$C$8,A722&gt;設定!$C$9),"⚠期間外",IF(COUNTIF(設定!$B$15:$B$29,B722)=0,"⚠項目不明",""))))</f>
        <v/>
      </c>
    </row>
    <row r="723" customFormat="false" ht="15" hidden="false" customHeight="false" outlineLevel="0" collapsed="false">
      <c r="A723" s="30"/>
      <c r="B723" s="31"/>
      <c r="C723" s="32"/>
      <c r="D723" s="31"/>
      <c r="E723" s="33" t="str">
        <f aca="false">IF(COUNTA(A723:D723)=0,"",IF(COUNTA(A723:C723)&lt;3,"⚠未入力",IF(OR(A723&lt;設定!$C$8,A723&gt;設定!$C$9),"⚠期間外",IF(COUNTIF(設定!$B$15:$B$29,B723)=0,"⚠項目不明",""))))</f>
        <v/>
      </c>
    </row>
    <row r="724" customFormat="false" ht="15" hidden="false" customHeight="false" outlineLevel="0" collapsed="false">
      <c r="A724" s="30"/>
      <c r="B724" s="31"/>
      <c r="C724" s="32"/>
      <c r="D724" s="31"/>
      <c r="E724" s="33" t="str">
        <f aca="false">IF(COUNTA(A724:D724)=0,"",IF(COUNTA(A724:C724)&lt;3,"⚠未入力",IF(OR(A724&lt;設定!$C$8,A724&gt;設定!$C$9),"⚠期間外",IF(COUNTIF(設定!$B$15:$B$29,B724)=0,"⚠項目不明",""))))</f>
        <v/>
      </c>
    </row>
    <row r="725" customFormat="false" ht="15" hidden="false" customHeight="false" outlineLevel="0" collapsed="false">
      <c r="A725" s="30"/>
      <c r="B725" s="31"/>
      <c r="C725" s="32"/>
      <c r="D725" s="31"/>
      <c r="E725" s="33" t="str">
        <f aca="false">IF(COUNTA(A725:D725)=0,"",IF(COUNTA(A725:C725)&lt;3,"⚠未入力",IF(OR(A725&lt;設定!$C$8,A725&gt;設定!$C$9),"⚠期間外",IF(COUNTIF(設定!$B$15:$B$29,B725)=0,"⚠項目不明",""))))</f>
        <v/>
      </c>
    </row>
    <row r="726" customFormat="false" ht="15" hidden="false" customHeight="false" outlineLevel="0" collapsed="false">
      <c r="A726" s="30"/>
      <c r="B726" s="31"/>
      <c r="C726" s="32"/>
      <c r="D726" s="31"/>
      <c r="E726" s="33" t="str">
        <f aca="false">IF(COUNTA(A726:D726)=0,"",IF(COUNTA(A726:C726)&lt;3,"⚠未入力",IF(OR(A726&lt;設定!$C$8,A726&gt;設定!$C$9),"⚠期間外",IF(COUNTIF(設定!$B$15:$B$29,B726)=0,"⚠項目不明",""))))</f>
        <v/>
      </c>
    </row>
    <row r="727" customFormat="false" ht="15" hidden="false" customHeight="false" outlineLevel="0" collapsed="false">
      <c r="A727" s="30"/>
      <c r="B727" s="31"/>
      <c r="C727" s="32"/>
      <c r="D727" s="31"/>
      <c r="E727" s="33" t="str">
        <f aca="false">IF(COUNTA(A727:D727)=0,"",IF(COUNTA(A727:C727)&lt;3,"⚠未入力",IF(OR(A727&lt;設定!$C$8,A727&gt;設定!$C$9),"⚠期間外",IF(COUNTIF(設定!$B$15:$B$29,B727)=0,"⚠項目不明",""))))</f>
        <v/>
      </c>
    </row>
    <row r="728" customFormat="false" ht="15" hidden="false" customHeight="false" outlineLevel="0" collapsed="false">
      <c r="A728" s="30"/>
      <c r="B728" s="31"/>
      <c r="C728" s="32"/>
      <c r="D728" s="31"/>
      <c r="E728" s="33" t="str">
        <f aca="false">IF(COUNTA(A728:D728)=0,"",IF(COUNTA(A728:C728)&lt;3,"⚠未入力",IF(OR(A728&lt;設定!$C$8,A728&gt;設定!$C$9),"⚠期間外",IF(COUNTIF(設定!$B$15:$B$29,B728)=0,"⚠項目不明",""))))</f>
        <v/>
      </c>
    </row>
    <row r="729" customFormat="false" ht="15" hidden="false" customHeight="false" outlineLevel="0" collapsed="false">
      <c r="A729" s="30"/>
      <c r="B729" s="31"/>
      <c r="C729" s="32"/>
      <c r="D729" s="31"/>
      <c r="E729" s="33" t="str">
        <f aca="false">IF(COUNTA(A729:D729)=0,"",IF(COUNTA(A729:C729)&lt;3,"⚠未入力",IF(OR(A729&lt;設定!$C$8,A729&gt;設定!$C$9),"⚠期間外",IF(COUNTIF(設定!$B$15:$B$29,B729)=0,"⚠項目不明",""))))</f>
        <v/>
      </c>
    </row>
    <row r="730" customFormat="false" ht="15" hidden="false" customHeight="false" outlineLevel="0" collapsed="false">
      <c r="A730" s="30"/>
      <c r="B730" s="31"/>
      <c r="C730" s="32"/>
      <c r="D730" s="31"/>
      <c r="E730" s="33" t="str">
        <f aca="false">IF(COUNTA(A730:D730)=0,"",IF(COUNTA(A730:C730)&lt;3,"⚠未入力",IF(OR(A730&lt;設定!$C$8,A730&gt;設定!$C$9),"⚠期間外",IF(COUNTIF(設定!$B$15:$B$29,B730)=0,"⚠項目不明",""))))</f>
        <v/>
      </c>
    </row>
    <row r="731" customFormat="false" ht="15" hidden="false" customHeight="false" outlineLevel="0" collapsed="false">
      <c r="A731" s="30"/>
      <c r="B731" s="31"/>
      <c r="C731" s="32"/>
      <c r="D731" s="31"/>
      <c r="E731" s="33" t="str">
        <f aca="false">IF(COUNTA(A731:D731)=0,"",IF(COUNTA(A731:C731)&lt;3,"⚠未入力",IF(OR(A731&lt;設定!$C$8,A731&gt;設定!$C$9),"⚠期間外",IF(COUNTIF(設定!$B$15:$B$29,B731)=0,"⚠項目不明",""))))</f>
        <v/>
      </c>
    </row>
    <row r="732" customFormat="false" ht="15" hidden="false" customHeight="false" outlineLevel="0" collapsed="false">
      <c r="A732" s="30"/>
      <c r="B732" s="31"/>
      <c r="C732" s="32"/>
      <c r="D732" s="31"/>
      <c r="E732" s="33" t="str">
        <f aca="false">IF(COUNTA(A732:D732)=0,"",IF(COUNTA(A732:C732)&lt;3,"⚠未入力",IF(OR(A732&lt;設定!$C$8,A732&gt;設定!$C$9),"⚠期間外",IF(COUNTIF(設定!$B$15:$B$29,B732)=0,"⚠項目不明",""))))</f>
        <v/>
      </c>
    </row>
    <row r="733" customFormat="false" ht="15" hidden="false" customHeight="false" outlineLevel="0" collapsed="false">
      <c r="A733" s="30"/>
      <c r="B733" s="31"/>
      <c r="C733" s="32"/>
      <c r="D733" s="31"/>
      <c r="E733" s="33" t="str">
        <f aca="false">IF(COUNTA(A733:D733)=0,"",IF(COUNTA(A733:C733)&lt;3,"⚠未入力",IF(OR(A733&lt;設定!$C$8,A733&gt;設定!$C$9),"⚠期間外",IF(COUNTIF(設定!$B$15:$B$29,B733)=0,"⚠項目不明",""))))</f>
        <v/>
      </c>
    </row>
    <row r="734" customFormat="false" ht="15" hidden="false" customHeight="false" outlineLevel="0" collapsed="false">
      <c r="A734" s="30"/>
      <c r="B734" s="31"/>
      <c r="C734" s="32"/>
      <c r="D734" s="31"/>
      <c r="E734" s="33" t="str">
        <f aca="false">IF(COUNTA(A734:D734)=0,"",IF(COUNTA(A734:C734)&lt;3,"⚠未入力",IF(OR(A734&lt;設定!$C$8,A734&gt;設定!$C$9),"⚠期間外",IF(COUNTIF(設定!$B$15:$B$29,B734)=0,"⚠項目不明",""))))</f>
        <v/>
      </c>
    </row>
    <row r="735" customFormat="false" ht="15" hidden="false" customHeight="false" outlineLevel="0" collapsed="false">
      <c r="A735" s="30"/>
      <c r="B735" s="31"/>
      <c r="C735" s="32"/>
      <c r="D735" s="31"/>
      <c r="E735" s="33" t="str">
        <f aca="false">IF(COUNTA(A735:D735)=0,"",IF(COUNTA(A735:C735)&lt;3,"⚠未入力",IF(OR(A735&lt;設定!$C$8,A735&gt;設定!$C$9),"⚠期間外",IF(COUNTIF(設定!$B$15:$B$29,B735)=0,"⚠項目不明",""))))</f>
        <v/>
      </c>
    </row>
    <row r="736" customFormat="false" ht="15" hidden="false" customHeight="false" outlineLevel="0" collapsed="false">
      <c r="A736" s="30"/>
      <c r="B736" s="31"/>
      <c r="C736" s="32"/>
      <c r="D736" s="31"/>
      <c r="E736" s="33" t="str">
        <f aca="false">IF(COUNTA(A736:D736)=0,"",IF(COUNTA(A736:C736)&lt;3,"⚠未入力",IF(OR(A736&lt;設定!$C$8,A736&gt;設定!$C$9),"⚠期間外",IF(COUNTIF(設定!$B$15:$B$29,B736)=0,"⚠項目不明",""))))</f>
        <v/>
      </c>
    </row>
    <row r="737" customFormat="false" ht="15" hidden="false" customHeight="false" outlineLevel="0" collapsed="false">
      <c r="A737" s="30"/>
      <c r="B737" s="31"/>
      <c r="C737" s="32"/>
      <c r="D737" s="31"/>
      <c r="E737" s="33" t="str">
        <f aca="false">IF(COUNTA(A737:D737)=0,"",IF(COUNTA(A737:C737)&lt;3,"⚠未入力",IF(OR(A737&lt;設定!$C$8,A737&gt;設定!$C$9),"⚠期間外",IF(COUNTIF(設定!$B$15:$B$29,B737)=0,"⚠項目不明",""))))</f>
        <v/>
      </c>
    </row>
    <row r="738" customFormat="false" ht="15" hidden="false" customHeight="false" outlineLevel="0" collapsed="false">
      <c r="A738" s="30"/>
      <c r="B738" s="31"/>
      <c r="C738" s="32"/>
      <c r="D738" s="31"/>
      <c r="E738" s="33" t="str">
        <f aca="false">IF(COUNTA(A738:D738)=0,"",IF(COUNTA(A738:C738)&lt;3,"⚠未入力",IF(OR(A738&lt;設定!$C$8,A738&gt;設定!$C$9),"⚠期間外",IF(COUNTIF(設定!$B$15:$B$29,B738)=0,"⚠項目不明",""))))</f>
        <v/>
      </c>
    </row>
    <row r="739" customFormat="false" ht="15" hidden="false" customHeight="false" outlineLevel="0" collapsed="false">
      <c r="A739" s="30"/>
      <c r="B739" s="31"/>
      <c r="C739" s="32"/>
      <c r="D739" s="31"/>
      <c r="E739" s="33" t="str">
        <f aca="false">IF(COUNTA(A739:D739)=0,"",IF(COUNTA(A739:C739)&lt;3,"⚠未入力",IF(OR(A739&lt;設定!$C$8,A739&gt;設定!$C$9),"⚠期間外",IF(COUNTIF(設定!$B$15:$B$29,B739)=0,"⚠項目不明",""))))</f>
        <v/>
      </c>
    </row>
    <row r="740" customFormat="false" ht="15" hidden="false" customHeight="false" outlineLevel="0" collapsed="false">
      <c r="A740" s="30"/>
      <c r="B740" s="31"/>
      <c r="C740" s="32"/>
      <c r="D740" s="31"/>
      <c r="E740" s="33" t="str">
        <f aca="false">IF(COUNTA(A740:D740)=0,"",IF(COUNTA(A740:C740)&lt;3,"⚠未入力",IF(OR(A740&lt;設定!$C$8,A740&gt;設定!$C$9),"⚠期間外",IF(COUNTIF(設定!$B$15:$B$29,B740)=0,"⚠項目不明",""))))</f>
        <v/>
      </c>
    </row>
    <row r="741" customFormat="false" ht="15" hidden="false" customHeight="false" outlineLevel="0" collapsed="false">
      <c r="A741" s="30"/>
      <c r="B741" s="31"/>
      <c r="C741" s="32"/>
      <c r="D741" s="31"/>
      <c r="E741" s="33" t="str">
        <f aca="false">IF(COUNTA(A741:D741)=0,"",IF(COUNTA(A741:C741)&lt;3,"⚠未入力",IF(OR(A741&lt;設定!$C$8,A741&gt;設定!$C$9),"⚠期間外",IF(COUNTIF(設定!$B$15:$B$29,B741)=0,"⚠項目不明",""))))</f>
        <v/>
      </c>
    </row>
    <row r="742" customFormat="false" ht="15" hidden="false" customHeight="false" outlineLevel="0" collapsed="false">
      <c r="A742" s="30"/>
      <c r="B742" s="31"/>
      <c r="C742" s="32"/>
      <c r="D742" s="31"/>
      <c r="E742" s="33" t="str">
        <f aca="false">IF(COUNTA(A742:D742)=0,"",IF(COUNTA(A742:C742)&lt;3,"⚠未入力",IF(OR(A742&lt;設定!$C$8,A742&gt;設定!$C$9),"⚠期間外",IF(COUNTIF(設定!$B$15:$B$29,B742)=0,"⚠項目不明",""))))</f>
        <v/>
      </c>
    </row>
    <row r="743" customFormat="false" ht="15" hidden="false" customHeight="false" outlineLevel="0" collapsed="false">
      <c r="A743" s="30"/>
      <c r="B743" s="31"/>
      <c r="C743" s="32"/>
      <c r="D743" s="31"/>
      <c r="E743" s="33" t="str">
        <f aca="false">IF(COUNTA(A743:D743)=0,"",IF(COUNTA(A743:C743)&lt;3,"⚠未入力",IF(OR(A743&lt;設定!$C$8,A743&gt;設定!$C$9),"⚠期間外",IF(COUNTIF(設定!$B$15:$B$29,B743)=0,"⚠項目不明",""))))</f>
        <v/>
      </c>
    </row>
    <row r="744" customFormat="false" ht="15" hidden="false" customHeight="false" outlineLevel="0" collapsed="false">
      <c r="A744" s="30"/>
      <c r="B744" s="31"/>
      <c r="C744" s="32"/>
      <c r="D744" s="31"/>
      <c r="E744" s="33" t="str">
        <f aca="false">IF(COUNTA(A744:D744)=0,"",IF(COUNTA(A744:C744)&lt;3,"⚠未入力",IF(OR(A744&lt;設定!$C$8,A744&gt;設定!$C$9),"⚠期間外",IF(COUNTIF(設定!$B$15:$B$29,B744)=0,"⚠項目不明",""))))</f>
        <v/>
      </c>
    </row>
    <row r="745" customFormat="false" ht="15" hidden="false" customHeight="false" outlineLevel="0" collapsed="false">
      <c r="A745" s="30"/>
      <c r="B745" s="31"/>
      <c r="C745" s="32"/>
      <c r="D745" s="31"/>
      <c r="E745" s="33" t="str">
        <f aca="false">IF(COUNTA(A745:D745)=0,"",IF(COUNTA(A745:C745)&lt;3,"⚠未入力",IF(OR(A745&lt;設定!$C$8,A745&gt;設定!$C$9),"⚠期間外",IF(COUNTIF(設定!$B$15:$B$29,B745)=0,"⚠項目不明",""))))</f>
        <v/>
      </c>
    </row>
    <row r="746" customFormat="false" ht="15" hidden="false" customHeight="false" outlineLevel="0" collapsed="false">
      <c r="A746" s="30"/>
      <c r="B746" s="31"/>
      <c r="C746" s="32"/>
      <c r="D746" s="31"/>
      <c r="E746" s="33" t="str">
        <f aca="false">IF(COUNTA(A746:D746)=0,"",IF(COUNTA(A746:C746)&lt;3,"⚠未入力",IF(OR(A746&lt;設定!$C$8,A746&gt;設定!$C$9),"⚠期間外",IF(COUNTIF(設定!$B$15:$B$29,B746)=0,"⚠項目不明",""))))</f>
        <v/>
      </c>
    </row>
    <row r="747" customFormat="false" ht="15" hidden="false" customHeight="false" outlineLevel="0" collapsed="false">
      <c r="A747" s="30"/>
      <c r="B747" s="31"/>
      <c r="C747" s="32"/>
      <c r="D747" s="31"/>
      <c r="E747" s="33" t="str">
        <f aca="false">IF(COUNTA(A747:D747)=0,"",IF(COUNTA(A747:C747)&lt;3,"⚠未入力",IF(OR(A747&lt;設定!$C$8,A747&gt;設定!$C$9),"⚠期間外",IF(COUNTIF(設定!$B$15:$B$29,B747)=0,"⚠項目不明",""))))</f>
        <v/>
      </c>
    </row>
    <row r="748" customFormat="false" ht="15" hidden="false" customHeight="false" outlineLevel="0" collapsed="false">
      <c r="A748" s="30"/>
      <c r="B748" s="31"/>
      <c r="C748" s="32"/>
      <c r="D748" s="31"/>
      <c r="E748" s="33" t="str">
        <f aca="false">IF(COUNTA(A748:D748)=0,"",IF(COUNTA(A748:C748)&lt;3,"⚠未入力",IF(OR(A748&lt;設定!$C$8,A748&gt;設定!$C$9),"⚠期間外",IF(COUNTIF(設定!$B$15:$B$29,B748)=0,"⚠項目不明",""))))</f>
        <v/>
      </c>
    </row>
    <row r="749" customFormat="false" ht="15" hidden="false" customHeight="false" outlineLevel="0" collapsed="false">
      <c r="A749" s="30"/>
      <c r="B749" s="31"/>
      <c r="C749" s="32"/>
      <c r="D749" s="31"/>
      <c r="E749" s="33" t="str">
        <f aca="false">IF(COUNTA(A749:D749)=0,"",IF(COUNTA(A749:C749)&lt;3,"⚠未入力",IF(OR(A749&lt;設定!$C$8,A749&gt;設定!$C$9),"⚠期間外",IF(COUNTIF(設定!$B$15:$B$29,B749)=0,"⚠項目不明",""))))</f>
        <v/>
      </c>
    </row>
    <row r="750" customFormat="false" ht="15" hidden="false" customHeight="false" outlineLevel="0" collapsed="false">
      <c r="A750" s="30"/>
      <c r="B750" s="31"/>
      <c r="C750" s="32"/>
      <c r="D750" s="31"/>
      <c r="E750" s="33" t="str">
        <f aca="false">IF(COUNTA(A750:D750)=0,"",IF(COUNTA(A750:C750)&lt;3,"⚠未入力",IF(OR(A750&lt;設定!$C$8,A750&gt;設定!$C$9),"⚠期間外",IF(COUNTIF(設定!$B$15:$B$29,B750)=0,"⚠項目不明",""))))</f>
        <v/>
      </c>
    </row>
    <row r="751" customFormat="false" ht="15" hidden="false" customHeight="false" outlineLevel="0" collapsed="false">
      <c r="A751" s="30"/>
      <c r="B751" s="31"/>
      <c r="C751" s="32"/>
      <c r="D751" s="31"/>
      <c r="E751" s="33" t="str">
        <f aca="false">IF(COUNTA(A751:D751)=0,"",IF(COUNTA(A751:C751)&lt;3,"⚠未入力",IF(OR(A751&lt;設定!$C$8,A751&gt;設定!$C$9),"⚠期間外",IF(COUNTIF(設定!$B$15:$B$29,B751)=0,"⚠項目不明",""))))</f>
        <v/>
      </c>
    </row>
    <row r="752" customFormat="false" ht="15" hidden="false" customHeight="false" outlineLevel="0" collapsed="false">
      <c r="A752" s="30"/>
      <c r="B752" s="31"/>
      <c r="C752" s="32"/>
      <c r="D752" s="31"/>
      <c r="E752" s="33" t="str">
        <f aca="false">IF(COUNTA(A752:D752)=0,"",IF(COUNTA(A752:C752)&lt;3,"⚠未入力",IF(OR(A752&lt;設定!$C$8,A752&gt;設定!$C$9),"⚠期間外",IF(COUNTIF(設定!$B$15:$B$29,B752)=0,"⚠項目不明",""))))</f>
        <v/>
      </c>
    </row>
    <row r="753" customFormat="false" ht="15" hidden="false" customHeight="false" outlineLevel="0" collapsed="false">
      <c r="A753" s="30"/>
      <c r="B753" s="31"/>
      <c r="C753" s="32"/>
      <c r="D753" s="31"/>
      <c r="E753" s="33" t="str">
        <f aca="false">IF(COUNTA(A753:D753)=0,"",IF(COUNTA(A753:C753)&lt;3,"⚠未入力",IF(OR(A753&lt;設定!$C$8,A753&gt;設定!$C$9),"⚠期間外",IF(COUNTIF(設定!$B$15:$B$29,B753)=0,"⚠項目不明",""))))</f>
        <v/>
      </c>
    </row>
    <row r="754" customFormat="false" ht="15" hidden="false" customHeight="false" outlineLevel="0" collapsed="false">
      <c r="A754" s="30"/>
      <c r="B754" s="31"/>
      <c r="C754" s="32"/>
      <c r="D754" s="31"/>
      <c r="E754" s="33" t="str">
        <f aca="false">IF(COUNTA(A754:D754)=0,"",IF(COUNTA(A754:C754)&lt;3,"⚠未入力",IF(OR(A754&lt;設定!$C$8,A754&gt;設定!$C$9),"⚠期間外",IF(COUNTIF(設定!$B$15:$B$29,B754)=0,"⚠項目不明",""))))</f>
        <v/>
      </c>
    </row>
    <row r="755" customFormat="false" ht="15" hidden="false" customHeight="false" outlineLevel="0" collapsed="false">
      <c r="A755" s="30"/>
      <c r="B755" s="31"/>
      <c r="C755" s="32"/>
      <c r="D755" s="31"/>
      <c r="E755" s="33" t="str">
        <f aca="false">IF(COUNTA(A755:D755)=0,"",IF(COUNTA(A755:C755)&lt;3,"⚠未入力",IF(OR(A755&lt;設定!$C$8,A755&gt;設定!$C$9),"⚠期間外",IF(COUNTIF(設定!$B$15:$B$29,B755)=0,"⚠項目不明",""))))</f>
        <v/>
      </c>
    </row>
    <row r="756" customFormat="false" ht="15" hidden="false" customHeight="false" outlineLevel="0" collapsed="false">
      <c r="A756" s="30"/>
      <c r="B756" s="31"/>
      <c r="C756" s="32"/>
      <c r="D756" s="31"/>
      <c r="E756" s="33" t="str">
        <f aca="false">IF(COUNTA(A756:D756)=0,"",IF(COUNTA(A756:C756)&lt;3,"⚠未入力",IF(OR(A756&lt;設定!$C$8,A756&gt;設定!$C$9),"⚠期間外",IF(COUNTIF(設定!$B$15:$B$29,B756)=0,"⚠項目不明",""))))</f>
        <v/>
      </c>
    </row>
    <row r="757" customFormat="false" ht="15" hidden="false" customHeight="false" outlineLevel="0" collapsed="false">
      <c r="A757" s="30"/>
      <c r="B757" s="31"/>
      <c r="C757" s="32"/>
      <c r="D757" s="31"/>
      <c r="E757" s="33" t="str">
        <f aca="false">IF(COUNTA(A757:D757)=0,"",IF(COUNTA(A757:C757)&lt;3,"⚠未入力",IF(OR(A757&lt;設定!$C$8,A757&gt;設定!$C$9),"⚠期間外",IF(COUNTIF(設定!$B$15:$B$29,B757)=0,"⚠項目不明",""))))</f>
        <v/>
      </c>
    </row>
    <row r="758" customFormat="false" ht="15" hidden="false" customHeight="false" outlineLevel="0" collapsed="false">
      <c r="A758" s="30"/>
      <c r="B758" s="31"/>
      <c r="C758" s="32"/>
      <c r="D758" s="31"/>
      <c r="E758" s="33" t="str">
        <f aca="false">IF(COUNTA(A758:D758)=0,"",IF(COUNTA(A758:C758)&lt;3,"⚠未入力",IF(OR(A758&lt;設定!$C$8,A758&gt;設定!$C$9),"⚠期間外",IF(COUNTIF(設定!$B$15:$B$29,B758)=0,"⚠項目不明",""))))</f>
        <v/>
      </c>
    </row>
    <row r="759" customFormat="false" ht="15" hidden="false" customHeight="false" outlineLevel="0" collapsed="false">
      <c r="A759" s="30"/>
      <c r="B759" s="31"/>
      <c r="C759" s="32"/>
      <c r="D759" s="31"/>
      <c r="E759" s="33" t="str">
        <f aca="false">IF(COUNTA(A759:D759)=0,"",IF(COUNTA(A759:C759)&lt;3,"⚠未入力",IF(OR(A759&lt;設定!$C$8,A759&gt;設定!$C$9),"⚠期間外",IF(COUNTIF(設定!$B$15:$B$29,B759)=0,"⚠項目不明",""))))</f>
        <v/>
      </c>
    </row>
    <row r="760" customFormat="false" ht="15" hidden="false" customHeight="false" outlineLevel="0" collapsed="false">
      <c r="A760" s="30"/>
      <c r="B760" s="31"/>
      <c r="C760" s="32"/>
      <c r="D760" s="31"/>
      <c r="E760" s="33" t="str">
        <f aca="false">IF(COUNTA(A760:D760)=0,"",IF(COUNTA(A760:C760)&lt;3,"⚠未入力",IF(OR(A760&lt;設定!$C$8,A760&gt;設定!$C$9),"⚠期間外",IF(COUNTIF(設定!$B$15:$B$29,B760)=0,"⚠項目不明",""))))</f>
        <v/>
      </c>
    </row>
    <row r="761" customFormat="false" ht="15" hidden="false" customHeight="false" outlineLevel="0" collapsed="false">
      <c r="A761" s="30"/>
      <c r="B761" s="31"/>
      <c r="C761" s="32"/>
      <c r="D761" s="31"/>
      <c r="E761" s="33" t="str">
        <f aca="false">IF(COUNTA(A761:D761)=0,"",IF(COUNTA(A761:C761)&lt;3,"⚠未入力",IF(OR(A761&lt;設定!$C$8,A761&gt;設定!$C$9),"⚠期間外",IF(COUNTIF(設定!$B$15:$B$29,B761)=0,"⚠項目不明",""))))</f>
        <v/>
      </c>
    </row>
    <row r="762" customFormat="false" ht="15" hidden="false" customHeight="false" outlineLevel="0" collapsed="false">
      <c r="A762" s="30"/>
      <c r="B762" s="31"/>
      <c r="C762" s="32"/>
      <c r="D762" s="31"/>
      <c r="E762" s="33" t="str">
        <f aca="false">IF(COUNTA(A762:D762)=0,"",IF(COUNTA(A762:C762)&lt;3,"⚠未入力",IF(OR(A762&lt;設定!$C$8,A762&gt;設定!$C$9),"⚠期間外",IF(COUNTIF(設定!$B$15:$B$29,B762)=0,"⚠項目不明",""))))</f>
        <v/>
      </c>
    </row>
    <row r="763" customFormat="false" ht="15" hidden="false" customHeight="false" outlineLevel="0" collapsed="false">
      <c r="A763" s="30"/>
      <c r="B763" s="31"/>
      <c r="C763" s="32"/>
      <c r="D763" s="31"/>
      <c r="E763" s="33" t="str">
        <f aca="false">IF(COUNTA(A763:D763)=0,"",IF(COUNTA(A763:C763)&lt;3,"⚠未入力",IF(OR(A763&lt;設定!$C$8,A763&gt;設定!$C$9),"⚠期間外",IF(COUNTIF(設定!$B$15:$B$29,B763)=0,"⚠項目不明",""))))</f>
        <v/>
      </c>
    </row>
    <row r="764" customFormat="false" ht="15" hidden="false" customHeight="false" outlineLevel="0" collapsed="false">
      <c r="A764" s="30"/>
      <c r="B764" s="31"/>
      <c r="C764" s="32"/>
      <c r="D764" s="31"/>
      <c r="E764" s="33" t="str">
        <f aca="false">IF(COUNTA(A764:D764)=0,"",IF(COUNTA(A764:C764)&lt;3,"⚠未入力",IF(OR(A764&lt;設定!$C$8,A764&gt;設定!$C$9),"⚠期間外",IF(COUNTIF(設定!$B$15:$B$29,B764)=0,"⚠項目不明",""))))</f>
        <v/>
      </c>
    </row>
    <row r="765" customFormat="false" ht="15" hidden="false" customHeight="false" outlineLevel="0" collapsed="false">
      <c r="A765" s="30"/>
      <c r="B765" s="31"/>
      <c r="C765" s="32"/>
      <c r="D765" s="31"/>
      <c r="E765" s="33" t="str">
        <f aca="false">IF(COUNTA(A765:D765)=0,"",IF(COUNTA(A765:C765)&lt;3,"⚠未入力",IF(OR(A765&lt;設定!$C$8,A765&gt;設定!$C$9),"⚠期間外",IF(COUNTIF(設定!$B$15:$B$29,B765)=0,"⚠項目不明",""))))</f>
        <v/>
      </c>
    </row>
    <row r="766" customFormat="false" ht="15" hidden="false" customHeight="false" outlineLevel="0" collapsed="false">
      <c r="A766" s="30"/>
      <c r="B766" s="31"/>
      <c r="C766" s="32"/>
      <c r="D766" s="31"/>
      <c r="E766" s="33" t="str">
        <f aca="false">IF(COUNTA(A766:D766)=0,"",IF(COUNTA(A766:C766)&lt;3,"⚠未入力",IF(OR(A766&lt;設定!$C$8,A766&gt;設定!$C$9),"⚠期間外",IF(COUNTIF(設定!$B$15:$B$29,B766)=0,"⚠項目不明",""))))</f>
        <v/>
      </c>
    </row>
    <row r="767" customFormat="false" ht="15" hidden="false" customHeight="false" outlineLevel="0" collapsed="false">
      <c r="A767" s="30"/>
      <c r="B767" s="31"/>
      <c r="C767" s="32"/>
      <c r="D767" s="31"/>
      <c r="E767" s="33" t="str">
        <f aca="false">IF(COUNTA(A767:D767)=0,"",IF(COUNTA(A767:C767)&lt;3,"⚠未入力",IF(OR(A767&lt;設定!$C$8,A767&gt;設定!$C$9),"⚠期間外",IF(COUNTIF(設定!$B$15:$B$29,B767)=0,"⚠項目不明",""))))</f>
        <v/>
      </c>
    </row>
    <row r="768" customFormat="false" ht="15" hidden="false" customHeight="false" outlineLevel="0" collapsed="false">
      <c r="A768" s="30"/>
      <c r="B768" s="31"/>
      <c r="C768" s="32"/>
      <c r="D768" s="31"/>
      <c r="E768" s="33" t="str">
        <f aca="false">IF(COUNTA(A768:D768)=0,"",IF(COUNTA(A768:C768)&lt;3,"⚠未入力",IF(OR(A768&lt;設定!$C$8,A768&gt;設定!$C$9),"⚠期間外",IF(COUNTIF(設定!$B$15:$B$29,B768)=0,"⚠項目不明",""))))</f>
        <v/>
      </c>
    </row>
    <row r="769" customFormat="false" ht="15" hidden="false" customHeight="false" outlineLevel="0" collapsed="false">
      <c r="A769" s="30"/>
      <c r="B769" s="31"/>
      <c r="C769" s="32"/>
      <c r="D769" s="31"/>
      <c r="E769" s="33" t="str">
        <f aca="false">IF(COUNTA(A769:D769)=0,"",IF(COUNTA(A769:C769)&lt;3,"⚠未入力",IF(OR(A769&lt;設定!$C$8,A769&gt;設定!$C$9),"⚠期間外",IF(COUNTIF(設定!$B$15:$B$29,B769)=0,"⚠項目不明",""))))</f>
        <v/>
      </c>
    </row>
    <row r="770" customFormat="false" ht="15" hidden="false" customHeight="false" outlineLevel="0" collapsed="false">
      <c r="A770" s="30"/>
      <c r="B770" s="31"/>
      <c r="C770" s="32"/>
      <c r="D770" s="31"/>
      <c r="E770" s="33" t="str">
        <f aca="false">IF(COUNTA(A770:D770)=0,"",IF(COUNTA(A770:C770)&lt;3,"⚠未入力",IF(OR(A770&lt;設定!$C$8,A770&gt;設定!$C$9),"⚠期間外",IF(COUNTIF(設定!$B$15:$B$29,B770)=0,"⚠項目不明",""))))</f>
        <v/>
      </c>
    </row>
    <row r="771" customFormat="false" ht="15" hidden="false" customHeight="false" outlineLevel="0" collapsed="false">
      <c r="A771" s="30"/>
      <c r="B771" s="31"/>
      <c r="C771" s="32"/>
      <c r="D771" s="31"/>
      <c r="E771" s="33" t="str">
        <f aca="false">IF(COUNTA(A771:D771)=0,"",IF(COUNTA(A771:C771)&lt;3,"⚠未入力",IF(OR(A771&lt;設定!$C$8,A771&gt;設定!$C$9),"⚠期間外",IF(COUNTIF(設定!$B$15:$B$29,B771)=0,"⚠項目不明",""))))</f>
        <v/>
      </c>
    </row>
    <row r="772" customFormat="false" ht="15" hidden="false" customHeight="false" outlineLevel="0" collapsed="false">
      <c r="A772" s="30"/>
      <c r="B772" s="31"/>
      <c r="C772" s="32"/>
      <c r="D772" s="31"/>
      <c r="E772" s="33" t="str">
        <f aca="false">IF(COUNTA(A772:D772)=0,"",IF(COUNTA(A772:C772)&lt;3,"⚠未入力",IF(OR(A772&lt;設定!$C$8,A772&gt;設定!$C$9),"⚠期間外",IF(COUNTIF(設定!$B$15:$B$29,B772)=0,"⚠項目不明",""))))</f>
        <v/>
      </c>
    </row>
    <row r="773" customFormat="false" ht="15" hidden="false" customHeight="false" outlineLevel="0" collapsed="false">
      <c r="A773" s="30"/>
      <c r="B773" s="31"/>
      <c r="C773" s="32"/>
      <c r="D773" s="31"/>
      <c r="E773" s="33" t="str">
        <f aca="false">IF(COUNTA(A773:D773)=0,"",IF(COUNTA(A773:C773)&lt;3,"⚠未入力",IF(OR(A773&lt;設定!$C$8,A773&gt;設定!$C$9),"⚠期間外",IF(COUNTIF(設定!$B$15:$B$29,B773)=0,"⚠項目不明",""))))</f>
        <v/>
      </c>
    </row>
    <row r="774" customFormat="false" ht="15" hidden="false" customHeight="false" outlineLevel="0" collapsed="false">
      <c r="A774" s="30"/>
      <c r="B774" s="31"/>
      <c r="C774" s="32"/>
      <c r="D774" s="31"/>
      <c r="E774" s="33" t="str">
        <f aca="false">IF(COUNTA(A774:D774)=0,"",IF(COUNTA(A774:C774)&lt;3,"⚠未入力",IF(OR(A774&lt;設定!$C$8,A774&gt;設定!$C$9),"⚠期間外",IF(COUNTIF(設定!$B$15:$B$29,B774)=0,"⚠項目不明",""))))</f>
        <v/>
      </c>
    </row>
    <row r="775" customFormat="false" ht="15" hidden="false" customHeight="false" outlineLevel="0" collapsed="false">
      <c r="A775" s="30"/>
      <c r="B775" s="31"/>
      <c r="C775" s="32"/>
      <c r="D775" s="31"/>
      <c r="E775" s="33" t="str">
        <f aca="false">IF(COUNTA(A775:D775)=0,"",IF(COUNTA(A775:C775)&lt;3,"⚠未入力",IF(OR(A775&lt;設定!$C$8,A775&gt;設定!$C$9),"⚠期間外",IF(COUNTIF(設定!$B$15:$B$29,B775)=0,"⚠項目不明",""))))</f>
        <v/>
      </c>
    </row>
    <row r="776" customFormat="false" ht="15" hidden="false" customHeight="false" outlineLevel="0" collapsed="false">
      <c r="A776" s="30"/>
      <c r="B776" s="31"/>
      <c r="C776" s="32"/>
      <c r="D776" s="31"/>
      <c r="E776" s="33" t="str">
        <f aca="false">IF(COUNTA(A776:D776)=0,"",IF(COUNTA(A776:C776)&lt;3,"⚠未入力",IF(OR(A776&lt;設定!$C$8,A776&gt;設定!$C$9),"⚠期間外",IF(COUNTIF(設定!$B$15:$B$29,B776)=0,"⚠項目不明",""))))</f>
        <v/>
      </c>
    </row>
    <row r="777" customFormat="false" ht="15" hidden="false" customHeight="false" outlineLevel="0" collapsed="false">
      <c r="A777" s="30"/>
      <c r="B777" s="31"/>
      <c r="C777" s="32"/>
      <c r="D777" s="31"/>
      <c r="E777" s="33" t="str">
        <f aca="false">IF(COUNTA(A777:D777)=0,"",IF(COUNTA(A777:C777)&lt;3,"⚠未入力",IF(OR(A777&lt;設定!$C$8,A777&gt;設定!$C$9),"⚠期間外",IF(COUNTIF(設定!$B$15:$B$29,B777)=0,"⚠項目不明",""))))</f>
        <v/>
      </c>
    </row>
    <row r="778" customFormat="false" ht="15" hidden="false" customHeight="false" outlineLevel="0" collapsed="false">
      <c r="A778" s="30"/>
      <c r="B778" s="31"/>
      <c r="C778" s="32"/>
      <c r="D778" s="31"/>
      <c r="E778" s="33" t="str">
        <f aca="false">IF(COUNTA(A778:D778)=0,"",IF(COUNTA(A778:C778)&lt;3,"⚠未入力",IF(OR(A778&lt;設定!$C$8,A778&gt;設定!$C$9),"⚠期間外",IF(COUNTIF(設定!$B$15:$B$29,B778)=0,"⚠項目不明",""))))</f>
        <v/>
      </c>
    </row>
    <row r="779" customFormat="false" ht="15" hidden="false" customHeight="false" outlineLevel="0" collapsed="false">
      <c r="A779" s="30"/>
      <c r="B779" s="31"/>
      <c r="C779" s="32"/>
      <c r="D779" s="31"/>
      <c r="E779" s="33" t="str">
        <f aca="false">IF(COUNTA(A779:D779)=0,"",IF(COUNTA(A779:C779)&lt;3,"⚠未入力",IF(OR(A779&lt;設定!$C$8,A779&gt;設定!$C$9),"⚠期間外",IF(COUNTIF(設定!$B$15:$B$29,B779)=0,"⚠項目不明",""))))</f>
        <v/>
      </c>
    </row>
    <row r="780" customFormat="false" ht="15" hidden="false" customHeight="false" outlineLevel="0" collapsed="false">
      <c r="A780" s="30"/>
      <c r="B780" s="31"/>
      <c r="C780" s="32"/>
      <c r="D780" s="31"/>
      <c r="E780" s="33" t="str">
        <f aca="false">IF(COUNTA(A780:D780)=0,"",IF(COUNTA(A780:C780)&lt;3,"⚠未入力",IF(OR(A780&lt;設定!$C$8,A780&gt;設定!$C$9),"⚠期間外",IF(COUNTIF(設定!$B$15:$B$29,B780)=0,"⚠項目不明",""))))</f>
        <v/>
      </c>
    </row>
    <row r="781" customFormat="false" ht="15" hidden="false" customHeight="false" outlineLevel="0" collapsed="false">
      <c r="A781" s="30"/>
      <c r="B781" s="31"/>
      <c r="C781" s="32"/>
      <c r="D781" s="31"/>
      <c r="E781" s="33" t="str">
        <f aca="false">IF(COUNTA(A781:D781)=0,"",IF(COUNTA(A781:C781)&lt;3,"⚠未入力",IF(OR(A781&lt;設定!$C$8,A781&gt;設定!$C$9),"⚠期間外",IF(COUNTIF(設定!$B$15:$B$29,B781)=0,"⚠項目不明",""))))</f>
        <v/>
      </c>
    </row>
    <row r="782" customFormat="false" ht="15" hidden="false" customHeight="false" outlineLevel="0" collapsed="false">
      <c r="A782" s="30"/>
      <c r="B782" s="31"/>
      <c r="C782" s="32"/>
      <c r="D782" s="31"/>
      <c r="E782" s="33" t="str">
        <f aca="false">IF(COUNTA(A782:D782)=0,"",IF(COUNTA(A782:C782)&lt;3,"⚠未入力",IF(OR(A782&lt;設定!$C$8,A782&gt;設定!$C$9),"⚠期間外",IF(COUNTIF(設定!$B$15:$B$29,B782)=0,"⚠項目不明",""))))</f>
        <v/>
      </c>
    </row>
    <row r="783" customFormat="false" ht="15" hidden="false" customHeight="false" outlineLevel="0" collapsed="false">
      <c r="A783" s="30"/>
      <c r="B783" s="31"/>
      <c r="C783" s="32"/>
      <c r="D783" s="31"/>
      <c r="E783" s="33" t="str">
        <f aca="false">IF(COUNTA(A783:D783)=0,"",IF(COUNTA(A783:C783)&lt;3,"⚠未入力",IF(OR(A783&lt;設定!$C$8,A783&gt;設定!$C$9),"⚠期間外",IF(COUNTIF(設定!$B$15:$B$29,B783)=0,"⚠項目不明",""))))</f>
        <v/>
      </c>
    </row>
    <row r="784" customFormat="false" ht="15" hidden="false" customHeight="false" outlineLevel="0" collapsed="false">
      <c r="A784" s="30"/>
      <c r="B784" s="31"/>
      <c r="C784" s="32"/>
      <c r="D784" s="31"/>
      <c r="E784" s="33" t="str">
        <f aca="false">IF(COUNTA(A784:D784)=0,"",IF(COUNTA(A784:C784)&lt;3,"⚠未入力",IF(OR(A784&lt;設定!$C$8,A784&gt;設定!$C$9),"⚠期間外",IF(COUNTIF(設定!$B$15:$B$29,B784)=0,"⚠項目不明",""))))</f>
        <v/>
      </c>
    </row>
    <row r="785" customFormat="false" ht="15" hidden="false" customHeight="false" outlineLevel="0" collapsed="false">
      <c r="A785" s="30"/>
      <c r="B785" s="31"/>
      <c r="C785" s="32"/>
      <c r="D785" s="31"/>
      <c r="E785" s="33" t="str">
        <f aca="false">IF(COUNTA(A785:D785)=0,"",IF(COUNTA(A785:C785)&lt;3,"⚠未入力",IF(OR(A785&lt;設定!$C$8,A785&gt;設定!$C$9),"⚠期間外",IF(COUNTIF(設定!$B$15:$B$29,B785)=0,"⚠項目不明",""))))</f>
        <v/>
      </c>
    </row>
    <row r="786" customFormat="false" ht="15" hidden="false" customHeight="false" outlineLevel="0" collapsed="false">
      <c r="A786" s="30"/>
      <c r="B786" s="31"/>
      <c r="C786" s="32"/>
      <c r="D786" s="31"/>
      <c r="E786" s="33" t="str">
        <f aca="false">IF(COUNTA(A786:D786)=0,"",IF(COUNTA(A786:C786)&lt;3,"⚠未入力",IF(OR(A786&lt;設定!$C$8,A786&gt;設定!$C$9),"⚠期間外",IF(COUNTIF(設定!$B$15:$B$29,B786)=0,"⚠項目不明",""))))</f>
        <v/>
      </c>
    </row>
    <row r="787" customFormat="false" ht="15" hidden="false" customHeight="false" outlineLevel="0" collapsed="false">
      <c r="A787" s="30"/>
      <c r="B787" s="31"/>
      <c r="C787" s="32"/>
      <c r="D787" s="31"/>
      <c r="E787" s="33" t="str">
        <f aca="false">IF(COUNTA(A787:D787)=0,"",IF(COUNTA(A787:C787)&lt;3,"⚠未入力",IF(OR(A787&lt;設定!$C$8,A787&gt;設定!$C$9),"⚠期間外",IF(COUNTIF(設定!$B$15:$B$29,B787)=0,"⚠項目不明",""))))</f>
        <v/>
      </c>
    </row>
    <row r="788" customFormat="false" ht="15" hidden="false" customHeight="false" outlineLevel="0" collapsed="false">
      <c r="A788" s="30"/>
      <c r="B788" s="31"/>
      <c r="C788" s="32"/>
      <c r="D788" s="31"/>
      <c r="E788" s="33" t="str">
        <f aca="false">IF(COUNTA(A788:D788)=0,"",IF(COUNTA(A788:C788)&lt;3,"⚠未入力",IF(OR(A788&lt;設定!$C$8,A788&gt;設定!$C$9),"⚠期間外",IF(COUNTIF(設定!$B$15:$B$29,B788)=0,"⚠項目不明",""))))</f>
        <v/>
      </c>
    </row>
    <row r="789" customFormat="false" ht="15" hidden="false" customHeight="false" outlineLevel="0" collapsed="false">
      <c r="A789" s="30"/>
      <c r="B789" s="31"/>
      <c r="C789" s="32"/>
      <c r="D789" s="31"/>
      <c r="E789" s="33" t="str">
        <f aca="false">IF(COUNTA(A789:D789)=0,"",IF(COUNTA(A789:C789)&lt;3,"⚠未入力",IF(OR(A789&lt;設定!$C$8,A789&gt;設定!$C$9),"⚠期間外",IF(COUNTIF(設定!$B$15:$B$29,B789)=0,"⚠項目不明",""))))</f>
        <v/>
      </c>
    </row>
    <row r="790" customFormat="false" ht="15" hidden="false" customHeight="false" outlineLevel="0" collapsed="false">
      <c r="A790" s="30"/>
      <c r="B790" s="31"/>
      <c r="C790" s="32"/>
      <c r="D790" s="31"/>
      <c r="E790" s="33" t="str">
        <f aca="false">IF(COUNTA(A790:D790)=0,"",IF(COUNTA(A790:C790)&lt;3,"⚠未入力",IF(OR(A790&lt;設定!$C$8,A790&gt;設定!$C$9),"⚠期間外",IF(COUNTIF(設定!$B$15:$B$29,B790)=0,"⚠項目不明",""))))</f>
        <v/>
      </c>
    </row>
    <row r="791" customFormat="false" ht="15" hidden="false" customHeight="false" outlineLevel="0" collapsed="false">
      <c r="A791" s="30"/>
      <c r="B791" s="31"/>
      <c r="C791" s="32"/>
      <c r="D791" s="31"/>
      <c r="E791" s="33" t="str">
        <f aca="false">IF(COUNTA(A791:D791)=0,"",IF(COUNTA(A791:C791)&lt;3,"⚠未入力",IF(OR(A791&lt;設定!$C$8,A791&gt;設定!$C$9),"⚠期間外",IF(COUNTIF(設定!$B$15:$B$29,B791)=0,"⚠項目不明",""))))</f>
        <v/>
      </c>
    </row>
    <row r="792" customFormat="false" ht="15" hidden="false" customHeight="false" outlineLevel="0" collapsed="false">
      <c r="A792" s="30"/>
      <c r="B792" s="31"/>
      <c r="C792" s="32"/>
      <c r="D792" s="31"/>
      <c r="E792" s="33" t="str">
        <f aca="false">IF(COUNTA(A792:D792)=0,"",IF(COUNTA(A792:C792)&lt;3,"⚠未入力",IF(OR(A792&lt;設定!$C$8,A792&gt;設定!$C$9),"⚠期間外",IF(COUNTIF(設定!$B$15:$B$29,B792)=0,"⚠項目不明",""))))</f>
        <v/>
      </c>
    </row>
    <row r="793" customFormat="false" ht="15" hidden="false" customHeight="false" outlineLevel="0" collapsed="false">
      <c r="A793" s="30"/>
      <c r="B793" s="31"/>
      <c r="C793" s="32"/>
      <c r="D793" s="31"/>
      <c r="E793" s="33" t="str">
        <f aca="false">IF(COUNTA(A793:D793)=0,"",IF(COUNTA(A793:C793)&lt;3,"⚠未入力",IF(OR(A793&lt;設定!$C$8,A793&gt;設定!$C$9),"⚠期間外",IF(COUNTIF(設定!$B$15:$B$29,B793)=0,"⚠項目不明",""))))</f>
        <v/>
      </c>
    </row>
    <row r="794" customFormat="false" ht="15" hidden="false" customHeight="false" outlineLevel="0" collapsed="false">
      <c r="A794" s="30"/>
      <c r="B794" s="31"/>
      <c r="C794" s="32"/>
      <c r="D794" s="31"/>
      <c r="E794" s="33" t="str">
        <f aca="false">IF(COUNTA(A794:D794)=0,"",IF(COUNTA(A794:C794)&lt;3,"⚠未入力",IF(OR(A794&lt;設定!$C$8,A794&gt;設定!$C$9),"⚠期間外",IF(COUNTIF(設定!$B$15:$B$29,B794)=0,"⚠項目不明",""))))</f>
        <v/>
      </c>
    </row>
    <row r="795" customFormat="false" ht="15" hidden="false" customHeight="false" outlineLevel="0" collapsed="false">
      <c r="A795" s="30"/>
      <c r="B795" s="31"/>
      <c r="C795" s="32"/>
      <c r="D795" s="31"/>
      <c r="E795" s="33" t="str">
        <f aca="false">IF(COUNTA(A795:D795)=0,"",IF(COUNTA(A795:C795)&lt;3,"⚠未入力",IF(OR(A795&lt;設定!$C$8,A795&gt;設定!$C$9),"⚠期間外",IF(COUNTIF(設定!$B$15:$B$29,B795)=0,"⚠項目不明",""))))</f>
        <v/>
      </c>
    </row>
    <row r="796" customFormat="false" ht="15" hidden="false" customHeight="false" outlineLevel="0" collapsed="false">
      <c r="A796" s="30"/>
      <c r="B796" s="31"/>
      <c r="C796" s="32"/>
      <c r="D796" s="31"/>
      <c r="E796" s="33" t="str">
        <f aca="false">IF(COUNTA(A796:D796)=0,"",IF(COUNTA(A796:C796)&lt;3,"⚠未入力",IF(OR(A796&lt;設定!$C$8,A796&gt;設定!$C$9),"⚠期間外",IF(COUNTIF(設定!$B$15:$B$29,B796)=0,"⚠項目不明",""))))</f>
        <v/>
      </c>
    </row>
    <row r="797" customFormat="false" ht="15" hidden="false" customHeight="false" outlineLevel="0" collapsed="false">
      <c r="A797" s="30"/>
      <c r="B797" s="31"/>
      <c r="C797" s="32"/>
      <c r="D797" s="31"/>
      <c r="E797" s="33" t="str">
        <f aca="false">IF(COUNTA(A797:D797)=0,"",IF(COUNTA(A797:C797)&lt;3,"⚠未入力",IF(OR(A797&lt;設定!$C$8,A797&gt;設定!$C$9),"⚠期間外",IF(COUNTIF(設定!$B$15:$B$29,B797)=0,"⚠項目不明",""))))</f>
        <v/>
      </c>
    </row>
    <row r="798" customFormat="false" ht="15" hidden="false" customHeight="false" outlineLevel="0" collapsed="false">
      <c r="A798" s="30"/>
      <c r="B798" s="31"/>
      <c r="C798" s="32"/>
      <c r="D798" s="31"/>
      <c r="E798" s="33" t="str">
        <f aca="false">IF(COUNTA(A798:D798)=0,"",IF(COUNTA(A798:C798)&lt;3,"⚠未入力",IF(OR(A798&lt;設定!$C$8,A798&gt;設定!$C$9),"⚠期間外",IF(COUNTIF(設定!$B$15:$B$29,B798)=0,"⚠項目不明",""))))</f>
        <v/>
      </c>
    </row>
    <row r="799" customFormat="false" ht="15" hidden="false" customHeight="false" outlineLevel="0" collapsed="false">
      <c r="A799" s="30"/>
      <c r="B799" s="31"/>
      <c r="C799" s="32"/>
      <c r="D799" s="31"/>
      <c r="E799" s="33" t="str">
        <f aca="false">IF(COUNTA(A799:D799)=0,"",IF(COUNTA(A799:C799)&lt;3,"⚠未入力",IF(OR(A799&lt;設定!$C$8,A799&gt;設定!$C$9),"⚠期間外",IF(COUNTIF(設定!$B$15:$B$29,B799)=0,"⚠項目不明",""))))</f>
        <v/>
      </c>
    </row>
    <row r="800" customFormat="false" ht="15" hidden="false" customHeight="false" outlineLevel="0" collapsed="false">
      <c r="A800" s="30"/>
      <c r="B800" s="31"/>
      <c r="C800" s="32"/>
      <c r="D800" s="31"/>
      <c r="E800" s="33" t="str">
        <f aca="false">IF(COUNTA(A800:D800)=0,"",IF(COUNTA(A800:C800)&lt;3,"⚠未入力",IF(OR(A800&lt;設定!$C$8,A800&gt;設定!$C$9),"⚠期間外",IF(COUNTIF(設定!$B$15:$B$29,B800)=0,"⚠項目不明",""))))</f>
        <v/>
      </c>
    </row>
    <row r="801" customFormat="false" ht="15" hidden="false" customHeight="false" outlineLevel="0" collapsed="false">
      <c r="A801" s="30"/>
      <c r="B801" s="31"/>
      <c r="C801" s="32"/>
      <c r="D801" s="31"/>
      <c r="E801" s="33" t="str">
        <f aca="false">IF(COUNTA(A801:D801)=0,"",IF(COUNTA(A801:C801)&lt;3,"⚠未入力",IF(OR(A801&lt;設定!$C$8,A801&gt;設定!$C$9),"⚠期間外",IF(COUNTIF(設定!$B$15:$B$29,B801)=0,"⚠項目不明",""))))</f>
        <v/>
      </c>
    </row>
    <row r="802" customFormat="false" ht="15" hidden="false" customHeight="false" outlineLevel="0" collapsed="false">
      <c r="A802" s="30"/>
      <c r="B802" s="31"/>
      <c r="C802" s="32"/>
      <c r="D802" s="31"/>
      <c r="E802" s="33" t="str">
        <f aca="false">IF(COUNTA(A802:D802)=0,"",IF(COUNTA(A802:C802)&lt;3,"⚠未入力",IF(OR(A802&lt;設定!$C$8,A802&gt;設定!$C$9),"⚠期間外",IF(COUNTIF(設定!$B$15:$B$29,B802)=0,"⚠項目不明",""))))</f>
        <v/>
      </c>
    </row>
    <row r="803" customFormat="false" ht="15" hidden="false" customHeight="false" outlineLevel="0" collapsed="false">
      <c r="A803" s="30"/>
      <c r="B803" s="31"/>
      <c r="C803" s="32"/>
      <c r="D803" s="31"/>
      <c r="E803" s="33" t="str">
        <f aca="false">IF(COUNTA(A803:D803)=0,"",IF(COUNTA(A803:C803)&lt;3,"⚠未入力",IF(OR(A803&lt;設定!$C$8,A803&gt;設定!$C$9),"⚠期間外",IF(COUNTIF(設定!$B$15:$B$29,B803)=0,"⚠項目不明",""))))</f>
        <v/>
      </c>
    </row>
    <row r="804" customFormat="false" ht="15" hidden="false" customHeight="false" outlineLevel="0" collapsed="false">
      <c r="A804" s="30"/>
      <c r="B804" s="31"/>
      <c r="C804" s="32"/>
      <c r="D804" s="31"/>
      <c r="E804" s="33" t="str">
        <f aca="false">IF(COUNTA(A804:D804)=0,"",IF(COUNTA(A804:C804)&lt;3,"⚠未入力",IF(OR(A804&lt;設定!$C$8,A804&gt;設定!$C$9),"⚠期間外",IF(COUNTIF(設定!$B$15:$B$29,B804)=0,"⚠項目不明",""))))</f>
        <v/>
      </c>
    </row>
    <row r="805" customFormat="false" ht="15" hidden="false" customHeight="false" outlineLevel="0" collapsed="false">
      <c r="A805" s="30"/>
      <c r="B805" s="31"/>
      <c r="C805" s="32"/>
      <c r="D805" s="31"/>
      <c r="E805" s="33" t="str">
        <f aca="false">IF(COUNTA(A805:D805)=0,"",IF(COUNTA(A805:C805)&lt;3,"⚠未入力",IF(OR(A805&lt;設定!$C$8,A805&gt;設定!$C$9),"⚠期間外",IF(COUNTIF(設定!$B$15:$B$29,B805)=0,"⚠項目不明",""))))</f>
        <v/>
      </c>
    </row>
    <row r="806" customFormat="false" ht="15" hidden="false" customHeight="false" outlineLevel="0" collapsed="false">
      <c r="A806" s="30"/>
      <c r="B806" s="31"/>
      <c r="C806" s="32"/>
      <c r="D806" s="31"/>
      <c r="E806" s="33" t="str">
        <f aca="false">IF(COUNTA(A806:D806)=0,"",IF(COUNTA(A806:C806)&lt;3,"⚠未入力",IF(OR(A806&lt;設定!$C$8,A806&gt;設定!$C$9),"⚠期間外",IF(COUNTIF(設定!$B$15:$B$29,B806)=0,"⚠項目不明",""))))</f>
        <v/>
      </c>
    </row>
    <row r="807" customFormat="false" ht="15" hidden="false" customHeight="false" outlineLevel="0" collapsed="false">
      <c r="A807" s="30"/>
      <c r="B807" s="31"/>
      <c r="C807" s="32"/>
      <c r="D807" s="31"/>
      <c r="E807" s="33" t="str">
        <f aca="false">IF(COUNTA(A807:D807)=0,"",IF(COUNTA(A807:C807)&lt;3,"⚠未入力",IF(OR(A807&lt;設定!$C$8,A807&gt;設定!$C$9),"⚠期間外",IF(COUNTIF(設定!$B$15:$B$29,B807)=0,"⚠項目不明",""))))</f>
        <v/>
      </c>
    </row>
    <row r="808" customFormat="false" ht="15" hidden="false" customHeight="false" outlineLevel="0" collapsed="false">
      <c r="A808" s="30"/>
      <c r="B808" s="31"/>
      <c r="C808" s="32"/>
      <c r="D808" s="31"/>
      <c r="E808" s="33" t="str">
        <f aca="false">IF(COUNTA(A808:D808)=0,"",IF(COUNTA(A808:C808)&lt;3,"⚠未入力",IF(OR(A808&lt;設定!$C$8,A808&gt;設定!$C$9),"⚠期間外",IF(COUNTIF(設定!$B$15:$B$29,B808)=0,"⚠項目不明",""))))</f>
        <v/>
      </c>
    </row>
    <row r="809" customFormat="false" ht="15" hidden="false" customHeight="false" outlineLevel="0" collapsed="false">
      <c r="A809" s="30"/>
      <c r="B809" s="31"/>
      <c r="C809" s="32"/>
      <c r="D809" s="31"/>
      <c r="E809" s="33" t="str">
        <f aca="false">IF(COUNTA(A809:D809)=0,"",IF(COUNTA(A809:C809)&lt;3,"⚠未入力",IF(OR(A809&lt;設定!$C$8,A809&gt;設定!$C$9),"⚠期間外",IF(COUNTIF(設定!$B$15:$B$29,B809)=0,"⚠項目不明",""))))</f>
        <v/>
      </c>
    </row>
    <row r="810" customFormat="false" ht="15" hidden="false" customHeight="false" outlineLevel="0" collapsed="false">
      <c r="A810" s="30"/>
      <c r="B810" s="31"/>
      <c r="C810" s="32"/>
      <c r="D810" s="31"/>
      <c r="E810" s="33" t="str">
        <f aca="false">IF(COUNTA(A810:D810)=0,"",IF(COUNTA(A810:C810)&lt;3,"⚠未入力",IF(OR(A810&lt;設定!$C$8,A810&gt;設定!$C$9),"⚠期間外",IF(COUNTIF(設定!$B$15:$B$29,B810)=0,"⚠項目不明",""))))</f>
        <v/>
      </c>
    </row>
    <row r="811" customFormat="false" ht="15" hidden="false" customHeight="false" outlineLevel="0" collapsed="false">
      <c r="A811" s="30"/>
      <c r="B811" s="31"/>
      <c r="C811" s="32"/>
      <c r="D811" s="31"/>
      <c r="E811" s="33" t="str">
        <f aca="false">IF(COUNTA(A811:D811)=0,"",IF(COUNTA(A811:C811)&lt;3,"⚠未入力",IF(OR(A811&lt;設定!$C$8,A811&gt;設定!$C$9),"⚠期間外",IF(COUNTIF(設定!$B$15:$B$29,B811)=0,"⚠項目不明",""))))</f>
        <v/>
      </c>
    </row>
    <row r="812" customFormat="false" ht="15" hidden="false" customHeight="false" outlineLevel="0" collapsed="false">
      <c r="A812" s="30"/>
      <c r="B812" s="31"/>
      <c r="C812" s="32"/>
      <c r="D812" s="31"/>
      <c r="E812" s="33" t="str">
        <f aca="false">IF(COUNTA(A812:D812)=0,"",IF(COUNTA(A812:C812)&lt;3,"⚠未入力",IF(OR(A812&lt;設定!$C$8,A812&gt;設定!$C$9),"⚠期間外",IF(COUNTIF(設定!$B$15:$B$29,B812)=0,"⚠項目不明",""))))</f>
        <v/>
      </c>
    </row>
    <row r="813" customFormat="false" ht="15" hidden="false" customHeight="false" outlineLevel="0" collapsed="false">
      <c r="A813" s="30"/>
      <c r="B813" s="31"/>
      <c r="C813" s="32"/>
      <c r="D813" s="31"/>
      <c r="E813" s="33" t="str">
        <f aca="false">IF(COUNTA(A813:D813)=0,"",IF(COUNTA(A813:C813)&lt;3,"⚠未入力",IF(OR(A813&lt;設定!$C$8,A813&gt;設定!$C$9),"⚠期間外",IF(COUNTIF(設定!$B$15:$B$29,B813)=0,"⚠項目不明",""))))</f>
        <v/>
      </c>
    </row>
    <row r="814" customFormat="false" ht="15" hidden="false" customHeight="false" outlineLevel="0" collapsed="false">
      <c r="A814" s="30"/>
      <c r="B814" s="31"/>
      <c r="C814" s="32"/>
      <c r="D814" s="31"/>
      <c r="E814" s="33" t="str">
        <f aca="false">IF(COUNTA(A814:D814)=0,"",IF(COUNTA(A814:C814)&lt;3,"⚠未入力",IF(OR(A814&lt;設定!$C$8,A814&gt;設定!$C$9),"⚠期間外",IF(COUNTIF(設定!$B$15:$B$29,B814)=0,"⚠項目不明",""))))</f>
        <v/>
      </c>
    </row>
    <row r="815" customFormat="false" ht="15" hidden="false" customHeight="false" outlineLevel="0" collapsed="false">
      <c r="A815" s="30"/>
      <c r="B815" s="31"/>
      <c r="C815" s="32"/>
      <c r="D815" s="31"/>
      <c r="E815" s="33" t="str">
        <f aca="false">IF(COUNTA(A815:D815)=0,"",IF(COUNTA(A815:C815)&lt;3,"⚠未入力",IF(OR(A815&lt;設定!$C$8,A815&gt;設定!$C$9),"⚠期間外",IF(COUNTIF(設定!$B$15:$B$29,B815)=0,"⚠項目不明",""))))</f>
        <v/>
      </c>
    </row>
    <row r="816" customFormat="false" ht="15" hidden="false" customHeight="false" outlineLevel="0" collapsed="false">
      <c r="A816" s="30"/>
      <c r="B816" s="31"/>
      <c r="C816" s="32"/>
      <c r="D816" s="31"/>
      <c r="E816" s="33" t="str">
        <f aca="false">IF(COUNTA(A816:D816)=0,"",IF(COUNTA(A816:C816)&lt;3,"⚠未入力",IF(OR(A816&lt;設定!$C$8,A816&gt;設定!$C$9),"⚠期間外",IF(COUNTIF(設定!$B$15:$B$29,B816)=0,"⚠項目不明",""))))</f>
        <v/>
      </c>
    </row>
    <row r="817" customFormat="false" ht="15" hidden="false" customHeight="false" outlineLevel="0" collapsed="false">
      <c r="A817" s="30"/>
      <c r="B817" s="31"/>
      <c r="C817" s="32"/>
      <c r="D817" s="31"/>
      <c r="E817" s="33" t="str">
        <f aca="false">IF(COUNTA(A817:D817)=0,"",IF(COUNTA(A817:C817)&lt;3,"⚠未入力",IF(OR(A817&lt;設定!$C$8,A817&gt;設定!$C$9),"⚠期間外",IF(COUNTIF(設定!$B$15:$B$29,B817)=0,"⚠項目不明",""))))</f>
        <v/>
      </c>
    </row>
    <row r="818" customFormat="false" ht="15" hidden="false" customHeight="false" outlineLevel="0" collapsed="false">
      <c r="A818" s="30"/>
      <c r="B818" s="31"/>
      <c r="C818" s="32"/>
      <c r="D818" s="31"/>
      <c r="E818" s="33" t="str">
        <f aca="false">IF(COUNTA(A818:D818)=0,"",IF(COUNTA(A818:C818)&lt;3,"⚠未入力",IF(OR(A818&lt;設定!$C$8,A818&gt;設定!$C$9),"⚠期間外",IF(COUNTIF(設定!$B$15:$B$29,B818)=0,"⚠項目不明",""))))</f>
        <v/>
      </c>
    </row>
    <row r="819" customFormat="false" ht="15" hidden="false" customHeight="false" outlineLevel="0" collapsed="false">
      <c r="A819" s="30"/>
      <c r="B819" s="31"/>
      <c r="C819" s="32"/>
      <c r="D819" s="31"/>
      <c r="E819" s="33" t="str">
        <f aca="false">IF(COUNTA(A819:D819)=0,"",IF(COUNTA(A819:C819)&lt;3,"⚠未入力",IF(OR(A819&lt;設定!$C$8,A819&gt;設定!$C$9),"⚠期間外",IF(COUNTIF(設定!$B$15:$B$29,B819)=0,"⚠項目不明",""))))</f>
        <v/>
      </c>
    </row>
    <row r="820" customFormat="false" ht="15" hidden="false" customHeight="false" outlineLevel="0" collapsed="false">
      <c r="A820" s="30"/>
      <c r="B820" s="31"/>
      <c r="C820" s="32"/>
      <c r="D820" s="31"/>
      <c r="E820" s="33" t="str">
        <f aca="false">IF(COUNTA(A820:D820)=0,"",IF(COUNTA(A820:C820)&lt;3,"⚠未入力",IF(OR(A820&lt;設定!$C$8,A820&gt;設定!$C$9),"⚠期間外",IF(COUNTIF(設定!$B$15:$B$29,B820)=0,"⚠項目不明",""))))</f>
        <v/>
      </c>
    </row>
    <row r="821" customFormat="false" ht="15" hidden="false" customHeight="false" outlineLevel="0" collapsed="false">
      <c r="A821" s="30"/>
      <c r="B821" s="31"/>
      <c r="C821" s="32"/>
      <c r="D821" s="31"/>
      <c r="E821" s="33" t="str">
        <f aca="false">IF(COUNTA(A821:D821)=0,"",IF(COUNTA(A821:C821)&lt;3,"⚠未入力",IF(OR(A821&lt;設定!$C$8,A821&gt;設定!$C$9),"⚠期間外",IF(COUNTIF(設定!$B$15:$B$29,B821)=0,"⚠項目不明",""))))</f>
        <v/>
      </c>
    </row>
    <row r="822" customFormat="false" ht="15" hidden="false" customHeight="false" outlineLevel="0" collapsed="false">
      <c r="A822" s="30"/>
      <c r="B822" s="31"/>
      <c r="C822" s="32"/>
      <c r="D822" s="31"/>
      <c r="E822" s="33" t="str">
        <f aca="false">IF(COUNTA(A822:D822)=0,"",IF(COUNTA(A822:C822)&lt;3,"⚠未入力",IF(OR(A822&lt;設定!$C$8,A822&gt;設定!$C$9),"⚠期間外",IF(COUNTIF(設定!$B$15:$B$29,B822)=0,"⚠項目不明",""))))</f>
        <v/>
      </c>
    </row>
    <row r="823" customFormat="false" ht="15" hidden="false" customHeight="false" outlineLevel="0" collapsed="false">
      <c r="A823" s="30"/>
      <c r="B823" s="31"/>
      <c r="C823" s="32"/>
      <c r="D823" s="31"/>
      <c r="E823" s="33" t="str">
        <f aca="false">IF(COUNTA(A823:D823)=0,"",IF(COUNTA(A823:C823)&lt;3,"⚠未入力",IF(OR(A823&lt;設定!$C$8,A823&gt;設定!$C$9),"⚠期間外",IF(COUNTIF(設定!$B$15:$B$29,B823)=0,"⚠項目不明",""))))</f>
        <v/>
      </c>
    </row>
    <row r="824" customFormat="false" ht="15" hidden="false" customHeight="false" outlineLevel="0" collapsed="false">
      <c r="A824" s="30"/>
      <c r="B824" s="31"/>
      <c r="C824" s="32"/>
      <c r="D824" s="31"/>
      <c r="E824" s="33" t="str">
        <f aca="false">IF(COUNTA(A824:D824)=0,"",IF(COUNTA(A824:C824)&lt;3,"⚠未入力",IF(OR(A824&lt;設定!$C$8,A824&gt;設定!$C$9),"⚠期間外",IF(COUNTIF(設定!$B$15:$B$29,B824)=0,"⚠項目不明",""))))</f>
        <v/>
      </c>
    </row>
    <row r="825" customFormat="false" ht="15" hidden="false" customHeight="false" outlineLevel="0" collapsed="false">
      <c r="A825" s="30"/>
      <c r="B825" s="31"/>
      <c r="C825" s="32"/>
      <c r="D825" s="31"/>
      <c r="E825" s="33" t="str">
        <f aca="false">IF(COUNTA(A825:D825)=0,"",IF(COUNTA(A825:C825)&lt;3,"⚠未入力",IF(OR(A825&lt;設定!$C$8,A825&gt;設定!$C$9),"⚠期間外",IF(COUNTIF(設定!$B$15:$B$29,B825)=0,"⚠項目不明",""))))</f>
        <v/>
      </c>
    </row>
    <row r="826" customFormat="false" ht="15" hidden="false" customHeight="false" outlineLevel="0" collapsed="false">
      <c r="A826" s="30"/>
      <c r="B826" s="31"/>
      <c r="C826" s="32"/>
      <c r="D826" s="31"/>
      <c r="E826" s="33" t="str">
        <f aca="false">IF(COUNTA(A826:D826)=0,"",IF(COUNTA(A826:C826)&lt;3,"⚠未入力",IF(OR(A826&lt;設定!$C$8,A826&gt;設定!$C$9),"⚠期間外",IF(COUNTIF(設定!$B$15:$B$29,B826)=0,"⚠項目不明",""))))</f>
        <v/>
      </c>
    </row>
    <row r="827" customFormat="false" ht="15" hidden="false" customHeight="false" outlineLevel="0" collapsed="false">
      <c r="A827" s="30"/>
      <c r="B827" s="31"/>
      <c r="C827" s="32"/>
      <c r="D827" s="31"/>
      <c r="E827" s="33" t="str">
        <f aca="false">IF(COUNTA(A827:D827)=0,"",IF(COUNTA(A827:C827)&lt;3,"⚠未入力",IF(OR(A827&lt;設定!$C$8,A827&gt;設定!$C$9),"⚠期間外",IF(COUNTIF(設定!$B$15:$B$29,B827)=0,"⚠項目不明",""))))</f>
        <v/>
      </c>
    </row>
    <row r="828" customFormat="false" ht="15" hidden="false" customHeight="false" outlineLevel="0" collapsed="false">
      <c r="A828" s="30"/>
      <c r="B828" s="31"/>
      <c r="C828" s="32"/>
      <c r="D828" s="31"/>
      <c r="E828" s="33" t="str">
        <f aca="false">IF(COUNTA(A828:D828)=0,"",IF(COUNTA(A828:C828)&lt;3,"⚠未入力",IF(OR(A828&lt;設定!$C$8,A828&gt;設定!$C$9),"⚠期間外",IF(COUNTIF(設定!$B$15:$B$29,B828)=0,"⚠項目不明",""))))</f>
        <v/>
      </c>
    </row>
    <row r="829" customFormat="false" ht="15" hidden="false" customHeight="false" outlineLevel="0" collapsed="false">
      <c r="A829" s="30"/>
      <c r="B829" s="31"/>
      <c r="C829" s="32"/>
      <c r="D829" s="31"/>
      <c r="E829" s="33" t="str">
        <f aca="false">IF(COUNTA(A829:D829)=0,"",IF(COUNTA(A829:C829)&lt;3,"⚠未入力",IF(OR(A829&lt;設定!$C$8,A829&gt;設定!$C$9),"⚠期間外",IF(COUNTIF(設定!$B$15:$B$29,B829)=0,"⚠項目不明",""))))</f>
        <v/>
      </c>
    </row>
    <row r="830" customFormat="false" ht="15" hidden="false" customHeight="false" outlineLevel="0" collapsed="false">
      <c r="A830" s="30"/>
      <c r="B830" s="31"/>
      <c r="C830" s="32"/>
      <c r="D830" s="31"/>
      <c r="E830" s="33" t="str">
        <f aca="false">IF(COUNTA(A830:D830)=0,"",IF(COUNTA(A830:C830)&lt;3,"⚠未入力",IF(OR(A830&lt;設定!$C$8,A830&gt;設定!$C$9),"⚠期間外",IF(COUNTIF(設定!$B$15:$B$29,B830)=0,"⚠項目不明",""))))</f>
        <v/>
      </c>
    </row>
    <row r="831" customFormat="false" ht="15" hidden="false" customHeight="false" outlineLevel="0" collapsed="false">
      <c r="A831" s="30"/>
      <c r="B831" s="31"/>
      <c r="C831" s="32"/>
      <c r="D831" s="31"/>
      <c r="E831" s="33" t="str">
        <f aca="false">IF(COUNTA(A831:D831)=0,"",IF(COUNTA(A831:C831)&lt;3,"⚠未入力",IF(OR(A831&lt;設定!$C$8,A831&gt;設定!$C$9),"⚠期間外",IF(COUNTIF(設定!$B$15:$B$29,B831)=0,"⚠項目不明",""))))</f>
        <v/>
      </c>
    </row>
    <row r="832" customFormat="false" ht="15" hidden="false" customHeight="false" outlineLevel="0" collapsed="false">
      <c r="A832" s="30"/>
      <c r="B832" s="31"/>
      <c r="C832" s="32"/>
      <c r="D832" s="31"/>
      <c r="E832" s="33" t="str">
        <f aca="false">IF(COUNTA(A832:D832)=0,"",IF(COUNTA(A832:C832)&lt;3,"⚠未入力",IF(OR(A832&lt;設定!$C$8,A832&gt;設定!$C$9),"⚠期間外",IF(COUNTIF(設定!$B$15:$B$29,B832)=0,"⚠項目不明",""))))</f>
        <v/>
      </c>
    </row>
    <row r="833" customFormat="false" ht="15" hidden="false" customHeight="false" outlineLevel="0" collapsed="false">
      <c r="A833" s="30"/>
      <c r="B833" s="31"/>
      <c r="C833" s="32"/>
      <c r="D833" s="31"/>
      <c r="E833" s="33" t="str">
        <f aca="false">IF(COUNTA(A833:D833)=0,"",IF(COUNTA(A833:C833)&lt;3,"⚠未入力",IF(OR(A833&lt;設定!$C$8,A833&gt;設定!$C$9),"⚠期間外",IF(COUNTIF(設定!$B$15:$B$29,B833)=0,"⚠項目不明",""))))</f>
        <v/>
      </c>
    </row>
    <row r="834" customFormat="false" ht="15" hidden="false" customHeight="false" outlineLevel="0" collapsed="false">
      <c r="A834" s="30"/>
      <c r="B834" s="31"/>
      <c r="C834" s="32"/>
      <c r="D834" s="31"/>
      <c r="E834" s="33" t="str">
        <f aca="false">IF(COUNTA(A834:D834)=0,"",IF(COUNTA(A834:C834)&lt;3,"⚠未入力",IF(OR(A834&lt;設定!$C$8,A834&gt;設定!$C$9),"⚠期間外",IF(COUNTIF(設定!$B$15:$B$29,B834)=0,"⚠項目不明",""))))</f>
        <v/>
      </c>
    </row>
    <row r="835" customFormat="false" ht="15" hidden="false" customHeight="false" outlineLevel="0" collapsed="false">
      <c r="A835" s="30"/>
      <c r="B835" s="31"/>
      <c r="C835" s="32"/>
      <c r="D835" s="31"/>
      <c r="E835" s="33" t="str">
        <f aca="false">IF(COUNTA(A835:D835)=0,"",IF(COUNTA(A835:C835)&lt;3,"⚠未入力",IF(OR(A835&lt;設定!$C$8,A835&gt;設定!$C$9),"⚠期間外",IF(COUNTIF(設定!$B$15:$B$29,B835)=0,"⚠項目不明",""))))</f>
        <v/>
      </c>
    </row>
    <row r="836" customFormat="false" ht="15" hidden="false" customHeight="false" outlineLevel="0" collapsed="false">
      <c r="A836" s="30"/>
      <c r="B836" s="31"/>
      <c r="C836" s="32"/>
      <c r="D836" s="31"/>
      <c r="E836" s="33" t="str">
        <f aca="false">IF(COUNTA(A836:D836)=0,"",IF(COUNTA(A836:C836)&lt;3,"⚠未入力",IF(OR(A836&lt;設定!$C$8,A836&gt;設定!$C$9),"⚠期間外",IF(COUNTIF(設定!$B$15:$B$29,B836)=0,"⚠項目不明",""))))</f>
        <v/>
      </c>
    </row>
    <row r="837" customFormat="false" ht="15" hidden="false" customHeight="false" outlineLevel="0" collapsed="false">
      <c r="A837" s="30"/>
      <c r="B837" s="31"/>
      <c r="C837" s="32"/>
      <c r="D837" s="31"/>
      <c r="E837" s="33" t="str">
        <f aca="false">IF(COUNTA(A837:D837)=0,"",IF(COUNTA(A837:C837)&lt;3,"⚠未入力",IF(OR(A837&lt;設定!$C$8,A837&gt;設定!$C$9),"⚠期間外",IF(COUNTIF(設定!$B$15:$B$29,B837)=0,"⚠項目不明",""))))</f>
        <v/>
      </c>
    </row>
    <row r="838" customFormat="false" ht="15" hidden="false" customHeight="false" outlineLevel="0" collapsed="false">
      <c r="A838" s="30"/>
      <c r="B838" s="31"/>
      <c r="C838" s="32"/>
      <c r="D838" s="31"/>
      <c r="E838" s="33" t="str">
        <f aca="false">IF(COUNTA(A838:D838)=0,"",IF(COUNTA(A838:C838)&lt;3,"⚠未入力",IF(OR(A838&lt;設定!$C$8,A838&gt;設定!$C$9),"⚠期間外",IF(COUNTIF(設定!$B$15:$B$29,B838)=0,"⚠項目不明",""))))</f>
        <v/>
      </c>
    </row>
    <row r="839" customFormat="false" ht="15" hidden="false" customHeight="false" outlineLevel="0" collapsed="false">
      <c r="A839" s="30"/>
      <c r="B839" s="31"/>
      <c r="C839" s="32"/>
      <c r="D839" s="31"/>
      <c r="E839" s="33" t="str">
        <f aca="false">IF(COUNTA(A839:D839)=0,"",IF(COUNTA(A839:C839)&lt;3,"⚠未入力",IF(OR(A839&lt;設定!$C$8,A839&gt;設定!$C$9),"⚠期間外",IF(COUNTIF(設定!$B$15:$B$29,B839)=0,"⚠項目不明",""))))</f>
        <v/>
      </c>
    </row>
    <row r="840" customFormat="false" ht="15" hidden="false" customHeight="false" outlineLevel="0" collapsed="false">
      <c r="A840" s="30"/>
      <c r="B840" s="31"/>
      <c r="C840" s="32"/>
      <c r="D840" s="31"/>
      <c r="E840" s="33" t="str">
        <f aca="false">IF(COUNTA(A840:D840)=0,"",IF(COUNTA(A840:C840)&lt;3,"⚠未入力",IF(OR(A840&lt;設定!$C$8,A840&gt;設定!$C$9),"⚠期間外",IF(COUNTIF(設定!$B$15:$B$29,B840)=0,"⚠項目不明",""))))</f>
        <v/>
      </c>
    </row>
    <row r="841" customFormat="false" ht="15" hidden="false" customHeight="false" outlineLevel="0" collapsed="false">
      <c r="A841" s="30"/>
      <c r="B841" s="31"/>
      <c r="C841" s="32"/>
      <c r="D841" s="31"/>
      <c r="E841" s="33" t="str">
        <f aca="false">IF(COUNTA(A841:D841)=0,"",IF(COUNTA(A841:C841)&lt;3,"⚠未入力",IF(OR(A841&lt;設定!$C$8,A841&gt;設定!$C$9),"⚠期間外",IF(COUNTIF(設定!$B$15:$B$29,B841)=0,"⚠項目不明",""))))</f>
        <v/>
      </c>
    </row>
    <row r="842" customFormat="false" ht="15" hidden="false" customHeight="false" outlineLevel="0" collapsed="false">
      <c r="A842" s="30"/>
      <c r="B842" s="31"/>
      <c r="C842" s="32"/>
      <c r="D842" s="31"/>
      <c r="E842" s="33" t="str">
        <f aca="false">IF(COUNTA(A842:D842)=0,"",IF(COUNTA(A842:C842)&lt;3,"⚠未入力",IF(OR(A842&lt;設定!$C$8,A842&gt;設定!$C$9),"⚠期間外",IF(COUNTIF(設定!$B$15:$B$29,B842)=0,"⚠項目不明",""))))</f>
        <v/>
      </c>
    </row>
    <row r="843" customFormat="false" ht="15" hidden="false" customHeight="false" outlineLevel="0" collapsed="false">
      <c r="A843" s="30"/>
      <c r="B843" s="31"/>
      <c r="C843" s="32"/>
      <c r="D843" s="31"/>
      <c r="E843" s="33" t="str">
        <f aca="false">IF(COUNTA(A843:D843)=0,"",IF(COUNTA(A843:C843)&lt;3,"⚠未入力",IF(OR(A843&lt;設定!$C$8,A843&gt;設定!$C$9),"⚠期間外",IF(COUNTIF(設定!$B$15:$B$29,B843)=0,"⚠項目不明",""))))</f>
        <v/>
      </c>
    </row>
    <row r="844" customFormat="false" ht="15" hidden="false" customHeight="false" outlineLevel="0" collapsed="false">
      <c r="A844" s="30"/>
      <c r="B844" s="31"/>
      <c r="C844" s="32"/>
      <c r="D844" s="31"/>
      <c r="E844" s="33" t="str">
        <f aca="false">IF(COUNTA(A844:D844)=0,"",IF(COUNTA(A844:C844)&lt;3,"⚠未入力",IF(OR(A844&lt;設定!$C$8,A844&gt;設定!$C$9),"⚠期間外",IF(COUNTIF(設定!$B$15:$B$29,B844)=0,"⚠項目不明",""))))</f>
        <v/>
      </c>
    </row>
    <row r="845" customFormat="false" ht="15" hidden="false" customHeight="false" outlineLevel="0" collapsed="false">
      <c r="A845" s="30"/>
      <c r="B845" s="31"/>
      <c r="C845" s="32"/>
      <c r="D845" s="31"/>
      <c r="E845" s="33" t="str">
        <f aca="false">IF(COUNTA(A845:D845)=0,"",IF(COUNTA(A845:C845)&lt;3,"⚠未入力",IF(OR(A845&lt;設定!$C$8,A845&gt;設定!$C$9),"⚠期間外",IF(COUNTIF(設定!$B$15:$B$29,B845)=0,"⚠項目不明",""))))</f>
        <v/>
      </c>
    </row>
    <row r="846" customFormat="false" ht="15" hidden="false" customHeight="false" outlineLevel="0" collapsed="false">
      <c r="A846" s="30"/>
      <c r="B846" s="31"/>
      <c r="C846" s="32"/>
      <c r="D846" s="31"/>
      <c r="E846" s="33" t="str">
        <f aca="false">IF(COUNTA(A846:D846)=0,"",IF(COUNTA(A846:C846)&lt;3,"⚠未入力",IF(OR(A846&lt;設定!$C$8,A846&gt;設定!$C$9),"⚠期間外",IF(COUNTIF(設定!$B$15:$B$29,B846)=0,"⚠項目不明",""))))</f>
        <v/>
      </c>
    </row>
    <row r="847" customFormat="false" ht="15" hidden="false" customHeight="false" outlineLevel="0" collapsed="false">
      <c r="A847" s="30"/>
      <c r="B847" s="31"/>
      <c r="C847" s="32"/>
      <c r="D847" s="31"/>
      <c r="E847" s="33" t="str">
        <f aca="false">IF(COUNTA(A847:D847)=0,"",IF(COUNTA(A847:C847)&lt;3,"⚠未入力",IF(OR(A847&lt;設定!$C$8,A847&gt;設定!$C$9),"⚠期間外",IF(COUNTIF(設定!$B$15:$B$29,B847)=0,"⚠項目不明",""))))</f>
        <v/>
      </c>
    </row>
    <row r="848" customFormat="false" ht="15" hidden="false" customHeight="false" outlineLevel="0" collapsed="false">
      <c r="A848" s="30"/>
      <c r="B848" s="31"/>
      <c r="C848" s="32"/>
      <c r="D848" s="31"/>
      <c r="E848" s="33" t="str">
        <f aca="false">IF(COUNTA(A848:D848)=0,"",IF(COUNTA(A848:C848)&lt;3,"⚠未入力",IF(OR(A848&lt;設定!$C$8,A848&gt;設定!$C$9),"⚠期間外",IF(COUNTIF(設定!$B$15:$B$29,B848)=0,"⚠項目不明",""))))</f>
        <v/>
      </c>
    </row>
    <row r="849" customFormat="false" ht="15" hidden="false" customHeight="false" outlineLevel="0" collapsed="false">
      <c r="A849" s="30"/>
      <c r="B849" s="31"/>
      <c r="C849" s="32"/>
      <c r="D849" s="31"/>
      <c r="E849" s="33" t="str">
        <f aca="false">IF(COUNTA(A849:D849)=0,"",IF(COUNTA(A849:C849)&lt;3,"⚠未入力",IF(OR(A849&lt;設定!$C$8,A849&gt;設定!$C$9),"⚠期間外",IF(COUNTIF(設定!$B$15:$B$29,B849)=0,"⚠項目不明",""))))</f>
        <v/>
      </c>
    </row>
    <row r="850" customFormat="false" ht="15" hidden="false" customHeight="false" outlineLevel="0" collapsed="false">
      <c r="A850" s="30"/>
      <c r="B850" s="31"/>
      <c r="C850" s="32"/>
      <c r="D850" s="31"/>
      <c r="E850" s="33" t="str">
        <f aca="false">IF(COUNTA(A850:D850)=0,"",IF(COUNTA(A850:C850)&lt;3,"⚠未入力",IF(OR(A850&lt;設定!$C$8,A850&gt;設定!$C$9),"⚠期間外",IF(COUNTIF(設定!$B$15:$B$29,B850)=0,"⚠項目不明",""))))</f>
        <v/>
      </c>
    </row>
    <row r="851" customFormat="false" ht="15" hidden="false" customHeight="false" outlineLevel="0" collapsed="false">
      <c r="A851" s="30"/>
      <c r="B851" s="31"/>
      <c r="C851" s="32"/>
      <c r="D851" s="31"/>
      <c r="E851" s="33" t="str">
        <f aca="false">IF(COUNTA(A851:D851)=0,"",IF(COUNTA(A851:C851)&lt;3,"⚠未入力",IF(OR(A851&lt;設定!$C$8,A851&gt;設定!$C$9),"⚠期間外",IF(COUNTIF(設定!$B$15:$B$29,B851)=0,"⚠項目不明",""))))</f>
        <v/>
      </c>
    </row>
    <row r="852" customFormat="false" ht="15" hidden="false" customHeight="false" outlineLevel="0" collapsed="false">
      <c r="A852" s="30"/>
      <c r="B852" s="31"/>
      <c r="C852" s="32"/>
      <c r="D852" s="31"/>
      <c r="E852" s="33" t="str">
        <f aca="false">IF(COUNTA(A852:D852)=0,"",IF(COUNTA(A852:C852)&lt;3,"⚠未入力",IF(OR(A852&lt;設定!$C$8,A852&gt;設定!$C$9),"⚠期間外",IF(COUNTIF(設定!$B$15:$B$29,B852)=0,"⚠項目不明",""))))</f>
        <v/>
      </c>
    </row>
    <row r="853" customFormat="false" ht="15" hidden="false" customHeight="false" outlineLevel="0" collapsed="false">
      <c r="A853" s="30"/>
      <c r="B853" s="31"/>
      <c r="C853" s="32"/>
      <c r="D853" s="31"/>
      <c r="E853" s="33" t="str">
        <f aca="false">IF(COUNTA(A853:D853)=0,"",IF(COUNTA(A853:C853)&lt;3,"⚠未入力",IF(OR(A853&lt;設定!$C$8,A853&gt;設定!$C$9),"⚠期間外",IF(COUNTIF(設定!$B$15:$B$29,B853)=0,"⚠項目不明",""))))</f>
        <v/>
      </c>
    </row>
    <row r="854" customFormat="false" ht="15" hidden="false" customHeight="false" outlineLevel="0" collapsed="false">
      <c r="A854" s="30"/>
      <c r="B854" s="31"/>
      <c r="C854" s="32"/>
      <c r="D854" s="31"/>
      <c r="E854" s="33" t="str">
        <f aca="false">IF(COUNTA(A854:D854)=0,"",IF(COUNTA(A854:C854)&lt;3,"⚠未入力",IF(OR(A854&lt;設定!$C$8,A854&gt;設定!$C$9),"⚠期間外",IF(COUNTIF(設定!$B$15:$B$29,B854)=0,"⚠項目不明",""))))</f>
        <v/>
      </c>
    </row>
    <row r="855" customFormat="false" ht="15" hidden="false" customHeight="false" outlineLevel="0" collapsed="false">
      <c r="A855" s="30"/>
      <c r="B855" s="31"/>
      <c r="C855" s="32"/>
      <c r="D855" s="31"/>
      <c r="E855" s="33" t="str">
        <f aca="false">IF(COUNTA(A855:D855)=0,"",IF(COUNTA(A855:C855)&lt;3,"⚠未入力",IF(OR(A855&lt;設定!$C$8,A855&gt;設定!$C$9),"⚠期間外",IF(COUNTIF(設定!$B$15:$B$29,B855)=0,"⚠項目不明",""))))</f>
        <v/>
      </c>
    </row>
    <row r="856" customFormat="false" ht="15" hidden="false" customHeight="false" outlineLevel="0" collapsed="false">
      <c r="A856" s="30"/>
      <c r="B856" s="31"/>
      <c r="C856" s="32"/>
      <c r="D856" s="31"/>
      <c r="E856" s="33" t="str">
        <f aca="false">IF(COUNTA(A856:D856)=0,"",IF(COUNTA(A856:C856)&lt;3,"⚠未入力",IF(OR(A856&lt;設定!$C$8,A856&gt;設定!$C$9),"⚠期間外",IF(COUNTIF(設定!$B$15:$B$29,B856)=0,"⚠項目不明",""))))</f>
        <v/>
      </c>
    </row>
    <row r="857" customFormat="false" ht="15" hidden="false" customHeight="false" outlineLevel="0" collapsed="false">
      <c r="A857" s="30"/>
      <c r="B857" s="31"/>
      <c r="C857" s="32"/>
      <c r="D857" s="31"/>
      <c r="E857" s="33" t="str">
        <f aca="false">IF(COUNTA(A857:D857)=0,"",IF(COUNTA(A857:C857)&lt;3,"⚠未入力",IF(OR(A857&lt;設定!$C$8,A857&gt;設定!$C$9),"⚠期間外",IF(COUNTIF(設定!$B$15:$B$29,B857)=0,"⚠項目不明",""))))</f>
        <v/>
      </c>
    </row>
    <row r="858" customFormat="false" ht="15" hidden="false" customHeight="false" outlineLevel="0" collapsed="false">
      <c r="A858" s="30"/>
      <c r="B858" s="31"/>
      <c r="C858" s="32"/>
      <c r="D858" s="31"/>
      <c r="E858" s="33" t="str">
        <f aca="false">IF(COUNTA(A858:D858)=0,"",IF(COUNTA(A858:C858)&lt;3,"⚠未入力",IF(OR(A858&lt;設定!$C$8,A858&gt;設定!$C$9),"⚠期間外",IF(COUNTIF(設定!$B$15:$B$29,B858)=0,"⚠項目不明",""))))</f>
        <v/>
      </c>
    </row>
    <row r="859" customFormat="false" ht="15" hidden="false" customHeight="false" outlineLevel="0" collapsed="false">
      <c r="A859" s="30"/>
      <c r="B859" s="31"/>
      <c r="C859" s="32"/>
      <c r="D859" s="31"/>
      <c r="E859" s="33" t="str">
        <f aca="false">IF(COUNTA(A859:D859)=0,"",IF(COUNTA(A859:C859)&lt;3,"⚠未入力",IF(OR(A859&lt;設定!$C$8,A859&gt;設定!$C$9),"⚠期間外",IF(COUNTIF(設定!$B$15:$B$29,B859)=0,"⚠項目不明",""))))</f>
        <v/>
      </c>
    </row>
    <row r="860" customFormat="false" ht="15" hidden="false" customHeight="false" outlineLevel="0" collapsed="false">
      <c r="A860" s="30"/>
      <c r="B860" s="31"/>
      <c r="C860" s="32"/>
      <c r="D860" s="31"/>
      <c r="E860" s="33" t="str">
        <f aca="false">IF(COUNTA(A860:D860)=0,"",IF(COUNTA(A860:C860)&lt;3,"⚠未入力",IF(OR(A860&lt;設定!$C$8,A860&gt;設定!$C$9),"⚠期間外",IF(COUNTIF(設定!$B$15:$B$29,B860)=0,"⚠項目不明",""))))</f>
        <v/>
      </c>
    </row>
    <row r="861" customFormat="false" ht="15" hidden="false" customHeight="false" outlineLevel="0" collapsed="false">
      <c r="A861" s="30"/>
      <c r="B861" s="31"/>
      <c r="C861" s="32"/>
      <c r="D861" s="31"/>
      <c r="E861" s="33" t="str">
        <f aca="false">IF(COUNTA(A861:D861)=0,"",IF(COUNTA(A861:C861)&lt;3,"⚠未入力",IF(OR(A861&lt;設定!$C$8,A861&gt;設定!$C$9),"⚠期間外",IF(COUNTIF(設定!$B$15:$B$29,B861)=0,"⚠項目不明",""))))</f>
        <v/>
      </c>
    </row>
    <row r="862" customFormat="false" ht="15" hidden="false" customHeight="false" outlineLevel="0" collapsed="false">
      <c r="A862" s="30"/>
      <c r="B862" s="31"/>
      <c r="C862" s="32"/>
      <c r="D862" s="31"/>
      <c r="E862" s="33" t="str">
        <f aca="false">IF(COUNTA(A862:D862)=0,"",IF(COUNTA(A862:C862)&lt;3,"⚠未入力",IF(OR(A862&lt;設定!$C$8,A862&gt;設定!$C$9),"⚠期間外",IF(COUNTIF(設定!$B$15:$B$29,B862)=0,"⚠項目不明",""))))</f>
        <v/>
      </c>
    </row>
    <row r="863" customFormat="false" ht="15" hidden="false" customHeight="false" outlineLevel="0" collapsed="false">
      <c r="A863" s="30"/>
      <c r="B863" s="31"/>
      <c r="C863" s="32"/>
      <c r="D863" s="31"/>
      <c r="E863" s="33" t="str">
        <f aca="false">IF(COUNTA(A863:D863)=0,"",IF(COUNTA(A863:C863)&lt;3,"⚠未入力",IF(OR(A863&lt;設定!$C$8,A863&gt;設定!$C$9),"⚠期間外",IF(COUNTIF(設定!$B$15:$B$29,B863)=0,"⚠項目不明",""))))</f>
        <v/>
      </c>
    </row>
    <row r="864" customFormat="false" ht="15" hidden="false" customHeight="false" outlineLevel="0" collapsed="false">
      <c r="A864" s="30"/>
      <c r="B864" s="31"/>
      <c r="C864" s="32"/>
      <c r="D864" s="31"/>
      <c r="E864" s="33" t="str">
        <f aca="false">IF(COUNTA(A864:D864)=0,"",IF(COUNTA(A864:C864)&lt;3,"⚠未入力",IF(OR(A864&lt;設定!$C$8,A864&gt;設定!$C$9),"⚠期間外",IF(COUNTIF(設定!$B$15:$B$29,B864)=0,"⚠項目不明",""))))</f>
        <v/>
      </c>
    </row>
    <row r="865" customFormat="false" ht="15" hidden="false" customHeight="false" outlineLevel="0" collapsed="false">
      <c r="A865" s="30"/>
      <c r="B865" s="31"/>
      <c r="C865" s="32"/>
      <c r="D865" s="31"/>
      <c r="E865" s="33" t="str">
        <f aca="false">IF(COUNTA(A865:D865)=0,"",IF(COUNTA(A865:C865)&lt;3,"⚠未入力",IF(OR(A865&lt;設定!$C$8,A865&gt;設定!$C$9),"⚠期間外",IF(COUNTIF(設定!$B$15:$B$29,B865)=0,"⚠項目不明",""))))</f>
        <v/>
      </c>
    </row>
    <row r="866" customFormat="false" ht="15" hidden="false" customHeight="false" outlineLevel="0" collapsed="false">
      <c r="A866" s="30"/>
      <c r="B866" s="31"/>
      <c r="C866" s="32"/>
      <c r="D866" s="31"/>
      <c r="E866" s="33" t="str">
        <f aca="false">IF(COUNTA(A866:D866)=0,"",IF(COUNTA(A866:C866)&lt;3,"⚠未入力",IF(OR(A866&lt;設定!$C$8,A866&gt;設定!$C$9),"⚠期間外",IF(COUNTIF(設定!$B$15:$B$29,B866)=0,"⚠項目不明",""))))</f>
        <v/>
      </c>
    </row>
    <row r="867" customFormat="false" ht="15" hidden="false" customHeight="false" outlineLevel="0" collapsed="false">
      <c r="A867" s="30"/>
      <c r="B867" s="31"/>
      <c r="C867" s="32"/>
      <c r="D867" s="31"/>
      <c r="E867" s="33" t="str">
        <f aca="false">IF(COUNTA(A867:D867)=0,"",IF(COUNTA(A867:C867)&lt;3,"⚠未入力",IF(OR(A867&lt;設定!$C$8,A867&gt;設定!$C$9),"⚠期間外",IF(COUNTIF(設定!$B$15:$B$29,B867)=0,"⚠項目不明",""))))</f>
        <v/>
      </c>
    </row>
    <row r="868" customFormat="false" ht="15" hidden="false" customHeight="false" outlineLevel="0" collapsed="false">
      <c r="A868" s="30"/>
      <c r="B868" s="31"/>
      <c r="C868" s="32"/>
      <c r="D868" s="31"/>
      <c r="E868" s="33" t="str">
        <f aca="false">IF(COUNTA(A868:D868)=0,"",IF(COUNTA(A868:C868)&lt;3,"⚠未入力",IF(OR(A868&lt;設定!$C$8,A868&gt;設定!$C$9),"⚠期間外",IF(COUNTIF(設定!$B$15:$B$29,B868)=0,"⚠項目不明",""))))</f>
        <v/>
      </c>
    </row>
    <row r="869" customFormat="false" ht="15" hidden="false" customHeight="false" outlineLevel="0" collapsed="false">
      <c r="A869" s="30"/>
      <c r="B869" s="31"/>
      <c r="C869" s="32"/>
      <c r="D869" s="31"/>
      <c r="E869" s="33" t="str">
        <f aca="false">IF(COUNTA(A869:D869)=0,"",IF(COUNTA(A869:C869)&lt;3,"⚠未入力",IF(OR(A869&lt;設定!$C$8,A869&gt;設定!$C$9),"⚠期間外",IF(COUNTIF(設定!$B$15:$B$29,B869)=0,"⚠項目不明",""))))</f>
        <v/>
      </c>
    </row>
    <row r="870" customFormat="false" ht="15" hidden="false" customHeight="false" outlineLevel="0" collapsed="false">
      <c r="A870" s="30"/>
      <c r="B870" s="31"/>
      <c r="C870" s="32"/>
      <c r="D870" s="31"/>
      <c r="E870" s="33" t="str">
        <f aca="false">IF(COUNTA(A870:D870)=0,"",IF(COUNTA(A870:C870)&lt;3,"⚠未入力",IF(OR(A870&lt;設定!$C$8,A870&gt;設定!$C$9),"⚠期間外",IF(COUNTIF(設定!$B$15:$B$29,B870)=0,"⚠項目不明",""))))</f>
        <v/>
      </c>
    </row>
    <row r="871" customFormat="false" ht="15" hidden="false" customHeight="false" outlineLevel="0" collapsed="false">
      <c r="A871" s="30"/>
      <c r="B871" s="31"/>
      <c r="C871" s="32"/>
      <c r="D871" s="31"/>
      <c r="E871" s="33" t="str">
        <f aca="false">IF(COUNTA(A871:D871)=0,"",IF(COUNTA(A871:C871)&lt;3,"⚠未入力",IF(OR(A871&lt;設定!$C$8,A871&gt;設定!$C$9),"⚠期間外",IF(COUNTIF(設定!$B$15:$B$29,B871)=0,"⚠項目不明",""))))</f>
        <v/>
      </c>
    </row>
    <row r="872" customFormat="false" ht="15" hidden="false" customHeight="false" outlineLevel="0" collapsed="false">
      <c r="A872" s="30"/>
      <c r="B872" s="31"/>
      <c r="C872" s="32"/>
      <c r="D872" s="31"/>
      <c r="E872" s="33" t="str">
        <f aca="false">IF(COUNTA(A872:D872)=0,"",IF(COUNTA(A872:C872)&lt;3,"⚠未入力",IF(OR(A872&lt;設定!$C$8,A872&gt;設定!$C$9),"⚠期間外",IF(COUNTIF(設定!$B$15:$B$29,B872)=0,"⚠項目不明",""))))</f>
        <v/>
      </c>
    </row>
    <row r="873" customFormat="false" ht="15" hidden="false" customHeight="false" outlineLevel="0" collapsed="false">
      <c r="A873" s="30"/>
      <c r="B873" s="31"/>
      <c r="C873" s="32"/>
      <c r="D873" s="31"/>
      <c r="E873" s="33" t="str">
        <f aca="false">IF(COUNTA(A873:D873)=0,"",IF(COUNTA(A873:C873)&lt;3,"⚠未入力",IF(OR(A873&lt;設定!$C$8,A873&gt;設定!$C$9),"⚠期間外",IF(COUNTIF(設定!$B$15:$B$29,B873)=0,"⚠項目不明",""))))</f>
        <v/>
      </c>
    </row>
    <row r="874" customFormat="false" ht="15" hidden="false" customHeight="false" outlineLevel="0" collapsed="false">
      <c r="A874" s="30"/>
      <c r="B874" s="31"/>
      <c r="C874" s="32"/>
      <c r="D874" s="31"/>
      <c r="E874" s="33" t="str">
        <f aca="false">IF(COUNTA(A874:D874)=0,"",IF(COUNTA(A874:C874)&lt;3,"⚠未入力",IF(OR(A874&lt;設定!$C$8,A874&gt;設定!$C$9),"⚠期間外",IF(COUNTIF(設定!$B$15:$B$29,B874)=0,"⚠項目不明",""))))</f>
        <v/>
      </c>
    </row>
    <row r="875" customFormat="false" ht="15" hidden="false" customHeight="false" outlineLevel="0" collapsed="false">
      <c r="A875" s="30"/>
      <c r="B875" s="31"/>
      <c r="C875" s="32"/>
      <c r="D875" s="31"/>
      <c r="E875" s="33" t="str">
        <f aca="false">IF(COUNTA(A875:D875)=0,"",IF(COUNTA(A875:C875)&lt;3,"⚠未入力",IF(OR(A875&lt;設定!$C$8,A875&gt;設定!$C$9),"⚠期間外",IF(COUNTIF(設定!$B$15:$B$29,B875)=0,"⚠項目不明",""))))</f>
        <v/>
      </c>
    </row>
    <row r="876" customFormat="false" ht="15" hidden="false" customHeight="false" outlineLevel="0" collapsed="false">
      <c r="A876" s="30"/>
      <c r="B876" s="31"/>
      <c r="C876" s="32"/>
      <c r="D876" s="31"/>
      <c r="E876" s="33" t="str">
        <f aca="false">IF(COUNTA(A876:D876)=0,"",IF(COUNTA(A876:C876)&lt;3,"⚠未入力",IF(OR(A876&lt;設定!$C$8,A876&gt;設定!$C$9),"⚠期間外",IF(COUNTIF(設定!$B$15:$B$29,B876)=0,"⚠項目不明",""))))</f>
        <v/>
      </c>
    </row>
    <row r="877" customFormat="false" ht="15" hidden="false" customHeight="false" outlineLevel="0" collapsed="false">
      <c r="A877" s="30"/>
      <c r="B877" s="31"/>
      <c r="C877" s="32"/>
      <c r="D877" s="31"/>
      <c r="E877" s="33" t="str">
        <f aca="false">IF(COUNTA(A877:D877)=0,"",IF(COUNTA(A877:C877)&lt;3,"⚠未入力",IF(OR(A877&lt;設定!$C$8,A877&gt;設定!$C$9),"⚠期間外",IF(COUNTIF(設定!$B$15:$B$29,B877)=0,"⚠項目不明",""))))</f>
        <v/>
      </c>
    </row>
    <row r="878" customFormat="false" ht="15" hidden="false" customHeight="false" outlineLevel="0" collapsed="false">
      <c r="A878" s="30"/>
      <c r="B878" s="31"/>
      <c r="C878" s="32"/>
      <c r="D878" s="31"/>
      <c r="E878" s="33" t="str">
        <f aca="false">IF(COUNTA(A878:D878)=0,"",IF(COUNTA(A878:C878)&lt;3,"⚠未入力",IF(OR(A878&lt;設定!$C$8,A878&gt;設定!$C$9),"⚠期間外",IF(COUNTIF(設定!$B$15:$B$29,B878)=0,"⚠項目不明",""))))</f>
        <v/>
      </c>
    </row>
    <row r="879" customFormat="false" ht="15" hidden="false" customHeight="false" outlineLevel="0" collapsed="false">
      <c r="A879" s="30"/>
      <c r="B879" s="31"/>
      <c r="C879" s="32"/>
      <c r="D879" s="31"/>
      <c r="E879" s="33" t="str">
        <f aca="false">IF(COUNTA(A879:D879)=0,"",IF(COUNTA(A879:C879)&lt;3,"⚠未入力",IF(OR(A879&lt;設定!$C$8,A879&gt;設定!$C$9),"⚠期間外",IF(COUNTIF(設定!$B$15:$B$29,B879)=0,"⚠項目不明",""))))</f>
        <v/>
      </c>
    </row>
    <row r="880" customFormat="false" ht="15" hidden="false" customHeight="false" outlineLevel="0" collapsed="false">
      <c r="A880" s="30"/>
      <c r="B880" s="31"/>
      <c r="C880" s="32"/>
      <c r="D880" s="31"/>
      <c r="E880" s="33" t="str">
        <f aca="false">IF(COUNTA(A880:D880)=0,"",IF(COUNTA(A880:C880)&lt;3,"⚠未入力",IF(OR(A880&lt;設定!$C$8,A880&gt;設定!$C$9),"⚠期間外",IF(COUNTIF(設定!$B$15:$B$29,B880)=0,"⚠項目不明",""))))</f>
        <v/>
      </c>
    </row>
    <row r="881" customFormat="false" ht="15" hidden="false" customHeight="false" outlineLevel="0" collapsed="false">
      <c r="A881" s="30"/>
      <c r="B881" s="31"/>
      <c r="C881" s="32"/>
      <c r="D881" s="31"/>
      <c r="E881" s="33" t="str">
        <f aca="false">IF(COUNTA(A881:D881)=0,"",IF(COUNTA(A881:C881)&lt;3,"⚠未入力",IF(OR(A881&lt;設定!$C$8,A881&gt;設定!$C$9),"⚠期間外",IF(COUNTIF(設定!$B$15:$B$29,B881)=0,"⚠項目不明",""))))</f>
        <v/>
      </c>
    </row>
    <row r="882" customFormat="false" ht="15" hidden="false" customHeight="false" outlineLevel="0" collapsed="false">
      <c r="A882" s="30"/>
      <c r="B882" s="31"/>
      <c r="C882" s="32"/>
      <c r="D882" s="31"/>
      <c r="E882" s="33" t="str">
        <f aca="false">IF(COUNTA(A882:D882)=0,"",IF(COUNTA(A882:C882)&lt;3,"⚠未入力",IF(OR(A882&lt;設定!$C$8,A882&gt;設定!$C$9),"⚠期間外",IF(COUNTIF(設定!$B$15:$B$29,B882)=0,"⚠項目不明",""))))</f>
        <v/>
      </c>
    </row>
    <row r="883" customFormat="false" ht="15" hidden="false" customHeight="false" outlineLevel="0" collapsed="false">
      <c r="A883" s="30"/>
      <c r="B883" s="31"/>
      <c r="C883" s="32"/>
      <c r="D883" s="31"/>
      <c r="E883" s="33" t="str">
        <f aca="false">IF(COUNTA(A883:D883)=0,"",IF(COUNTA(A883:C883)&lt;3,"⚠未入力",IF(OR(A883&lt;設定!$C$8,A883&gt;設定!$C$9),"⚠期間外",IF(COUNTIF(設定!$B$15:$B$29,B883)=0,"⚠項目不明",""))))</f>
        <v/>
      </c>
    </row>
    <row r="884" customFormat="false" ht="15" hidden="false" customHeight="false" outlineLevel="0" collapsed="false">
      <c r="A884" s="30"/>
      <c r="B884" s="31"/>
      <c r="C884" s="32"/>
      <c r="D884" s="31"/>
      <c r="E884" s="33" t="str">
        <f aca="false">IF(COUNTA(A884:D884)=0,"",IF(COUNTA(A884:C884)&lt;3,"⚠未入力",IF(OR(A884&lt;設定!$C$8,A884&gt;設定!$C$9),"⚠期間外",IF(COUNTIF(設定!$B$15:$B$29,B884)=0,"⚠項目不明",""))))</f>
        <v/>
      </c>
    </row>
    <row r="885" customFormat="false" ht="15" hidden="false" customHeight="false" outlineLevel="0" collapsed="false">
      <c r="A885" s="30"/>
      <c r="B885" s="31"/>
      <c r="C885" s="32"/>
      <c r="D885" s="31"/>
      <c r="E885" s="33" t="str">
        <f aca="false">IF(COUNTA(A885:D885)=0,"",IF(COUNTA(A885:C885)&lt;3,"⚠未入力",IF(OR(A885&lt;設定!$C$8,A885&gt;設定!$C$9),"⚠期間外",IF(COUNTIF(設定!$B$15:$B$29,B885)=0,"⚠項目不明",""))))</f>
        <v/>
      </c>
    </row>
    <row r="886" customFormat="false" ht="15" hidden="false" customHeight="false" outlineLevel="0" collapsed="false">
      <c r="A886" s="30"/>
      <c r="B886" s="31"/>
      <c r="C886" s="32"/>
      <c r="D886" s="31"/>
      <c r="E886" s="33" t="str">
        <f aca="false">IF(COUNTA(A886:D886)=0,"",IF(COUNTA(A886:C886)&lt;3,"⚠未入力",IF(OR(A886&lt;設定!$C$8,A886&gt;設定!$C$9),"⚠期間外",IF(COUNTIF(設定!$B$15:$B$29,B886)=0,"⚠項目不明",""))))</f>
        <v/>
      </c>
    </row>
    <row r="887" customFormat="false" ht="15" hidden="false" customHeight="false" outlineLevel="0" collapsed="false">
      <c r="A887" s="30"/>
      <c r="B887" s="31"/>
      <c r="C887" s="32"/>
      <c r="D887" s="31"/>
      <c r="E887" s="33" t="str">
        <f aca="false">IF(COUNTA(A887:D887)=0,"",IF(COUNTA(A887:C887)&lt;3,"⚠未入力",IF(OR(A887&lt;設定!$C$8,A887&gt;設定!$C$9),"⚠期間外",IF(COUNTIF(設定!$B$15:$B$29,B887)=0,"⚠項目不明",""))))</f>
        <v/>
      </c>
    </row>
    <row r="888" customFormat="false" ht="15" hidden="false" customHeight="false" outlineLevel="0" collapsed="false">
      <c r="A888" s="30"/>
      <c r="B888" s="31"/>
      <c r="C888" s="32"/>
      <c r="D888" s="31"/>
      <c r="E888" s="33" t="str">
        <f aca="false">IF(COUNTA(A888:D888)=0,"",IF(COUNTA(A888:C888)&lt;3,"⚠未入力",IF(OR(A888&lt;設定!$C$8,A888&gt;設定!$C$9),"⚠期間外",IF(COUNTIF(設定!$B$15:$B$29,B888)=0,"⚠項目不明",""))))</f>
        <v/>
      </c>
    </row>
    <row r="889" customFormat="false" ht="15" hidden="false" customHeight="false" outlineLevel="0" collapsed="false">
      <c r="A889" s="30"/>
      <c r="B889" s="31"/>
      <c r="C889" s="32"/>
      <c r="D889" s="31"/>
      <c r="E889" s="33" t="str">
        <f aca="false">IF(COUNTA(A889:D889)=0,"",IF(COUNTA(A889:C889)&lt;3,"⚠未入力",IF(OR(A889&lt;設定!$C$8,A889&gt;設定!$C$9),"⚠期間外",IF(COUNTIF(設定!$B$15:$B$29,B889)=0,"⚠項目不明",""))))</f>
        <v/>
      </c>
    </row>
    <row r="890" customFormat="false" ht="15" hidden="false" customHeight="false" outlineLevel="0" collapsed="false">
      <c r="A890" s="30"/>
      <c r="B890" s="31"/>
      <c r="C890" s="32"/>
      <c r="D890" s="31"/>
      <c r="E890" s="33" t="str">
        <f aca="false">IF(COUNTA(A890:D890)=0,"",IF(COUNTA(A890:C890)&lt;3,"⚠未入力",IF(OR(A890&lt;設定!$C$8,A890&gt;設定!$C$9),"⚠期間外",IF(COUNTIF(設定!$B$15:$B$29,B890)=0,"⚠項目不明",""))))</f>
        <v/>
      </c>
    </row>
    <row r="891" customFormat="false" ht="15" hidden="false" customHeight="false" outlineLevel="0" collapsed="false">
      <c r="A891" s="30"/>
      <c r="B891" s="31"/>
      <c r="C891" s="32"/>
      <c r="D891" s="31"/>
      <c r="E891" s="33" t="str">
        <f aca="false">IF(COUNTA(A891:D891)=0,"",IF(COUNTA(A891:C891)&lt;3,"⚠未入力",IF(OR(A891&lt;設定!$C$8,A891&gt;設定!$C$9),"⚠期間外",IF(COUNTIF(設定!$B$15:$B$29,B891)=0,"⚠項目不明",""))))</f>
        <v/>
      </c>
    </row>
    <row r="892" customFormat="false" ht="15" hidden="false" customHeight="false" outlineLevel="0" collapsed="false">
      <c r="A892" s="30"/>
      <c r="B892" s="31"/>
      <c r="C892" s="32"/>
      <c r="D892" s="31"/>
      <c r="E892" s="33" t="str">
        <f aca="false">IF(COUNTA(A892:D892)=0,"",IF(COUNTA(A892:C892)&lt;3,"⚠未入力",IF(OR(A892&lt;設定!$C$8,A892&gt;設定!$C$9),"⚠期間外",IF(COUNTIF(設定!$B$15:$B$29,B892)=0,"⚠項目不明",""))))</f>
        <v/>
      </c>
    </row>
    <row r="893" customFormat="false" ht="15" hidden="false" customHeight="false" outlineLevel="0" collapsed="false">
      <c r="A893" s="30"/>
      <c r="B893" s="31"/>
      <c r="C893" s="32"/>
      <c r="D893" s="31"/>
      <c r="E893" s="33" t="str">
        <f aca="false">IF(COUNTA(A893:D893)=0,"",IF(COUNTA(A893:C893)&lt;3,"⚠未入力",IF(OR(A893&lt;設定!$C$8,A893&gt;設定!$C$9),"⚠期間外",IF(COUNTIF(設定!$B$15:$B$29,B893)=0,"⚠項目不明",""))))</f>
        <v/>
      </c>
    </row>
    <row r="894" customFormat="false" ht="15" hidden="false" customHeight="false" outlineLevel="0" collapsed="false">
      <c r="A894" s="30"/>
      <c r="B894" s="31"/>
      <c r="C894" s="32"/>
      <c r="D894" s="31"/>
      <c r="E894" s="33" t="str">
        <f aca="false">IF(COUNTA(A894:D894)=0,"",IF(COUNTA(A894:C894)&lt;3,"⚠未入力",IF(OR(A894&lt;設定!$C$8,A894&gt;設定!$C$9),"⚠期間外",IF(COUNTIF(設定!$B$15:$B$29,B894)=0,"⚠項目不明",""))))</f>
        <v/>
      </c>
    </row>
    <row r="895" customFormat="false" ht="15" hidden="false" customHeight="false" outlineLevel="0" collapsed="false">
      <c r="A895" s="30"/>
      <c r="B895" s="31"/>
      <c r="C895" s="32"/>
      <c r="D895" s="31"/>
      <c r="E895" s="33" t="str">
        <f aca="false">IF(COUNTA(A895:D895)=0,"",IF(COUNTA(A895:C895)&lt;3,"⚠未入力",IF(OR(A895&lt;設定!$C$8,A895&gt;設定!$C$9),"⚠期間外",IF(COUNTIF(設定!$B$15:$B$29,B895)=0,"⚠項目不明",""))))</f>
        <v/>
      </c>
    </row>
    <row r="896" customFormat="false" ht="15" hidden="false" customHeight="false" outlineLevel="0" collapsed="false">
      <c r="A896" s="30"/>
      <c r="B896" s="31"/>
      <c r="C896" s="32"/>
      <c r="D896" s="31"/>
      <c r="E896" s="33" t="str">
        <f aca="false">IF(COUNTA(A896:D896)=0,"",IF(COUNTA(A896:C896)&lt;3,"⚠未入力",IF(OR(A896&lt;設定!$C$8,A896&gt;設定!$C$9),"⚠期間外",IF(COUNTIF(設定!$B$15:$B$29,B896)=0,"⚠項目不明",""))))</f>
        <v/>
      </c>
    </row>
    <row r="897" customFormat="false" ht="15" hidden="false" customHeight="false" outlineLevel="0" collapsed="false">
      <c r="A897" s="30"/>
      <c r="B897" s="31"/>
      <c r="C897" s="32"/>
      <c r="D897" s="31"/>
      <c r="E897" s="33" t="str">
        <f aca="false">IF(COUNTA(A897:D897)=0,"",IF(COUNTA(A897:C897)&lt;3,"⚠未入力",IF(OR(A897&lt;設定!$C$8,A897&gt;設定!$C$9),"⚠期間外",IF(COUNTIF(設定!$B$15:$B$29,B897)=0,"⚠項目不明",""))))</f>
        <v/>
      </c>
    </row>
    <row r="898" customFormat="false" ht="15" hidden="false" customHeight="false" outlineLevel="0" collapsed="false">
      <c r="A898" s="30"/>
      <c r="B898" s="31"/>
      <c r="C898" s="32"/>
      <c r="D898" s="31"/>
      <c r="E898" s="33" t="str">
        <f aca="false">IF(COUNTA(A898:D898)=0,"",IF(COUNTA(A898:C898)&lt;3,"⚠未入力",IF(OR(A898&lt;設定!$C$8,A898&gt;設定!$C$9),"⚠期間外",IF(COUNTIF(設定!$B$15:$B$29,B898)=0,"⚠項目不明",""))))</f>
        <v/>
      </c>
    </row>
    <row r="899" customFormat="false" ht="15" hidden="false" customHeight="false" outlineLevel="0" collapsed="false">
      <c r="A899" s="30"/>
      <c r="B899" s="31"/>
      <c r="C899" s="32"/>
      <c r="D899" s="31"/>
      <c r="E899" s="33" t="str">
        <f aca="false">IF(COUNTA(A899:D899)=0,"",IF(COUNTA(A899:C899)&lt;3,"⚠未入力",IF(OR(A899&lt;設定!$C$8,A899&gt;設定!$C$9),"⚠期間外",IF(COUNTIF(設定!$B$15:$B$29,B899)=0,"⚠項目不明",""))))</f>
        <v/>
      </c>
    </row>
    <row r="900" customFormat="false" ht="15" hidden="false" customHeight="false" outlineLevel="0" collapsed="false">
      <c r="A900" s="30"/>
      <c r="B900" s="31"/>
      <c r="C900" s="32"/>
      <c r="D900" s="31"/>
      <c r="E900" s="33" t="str">
        <f aca="false">IF(COUNTA(A900:D900)=0,"",IF(COUNTA(A900:C900)&lt;3,"⚠未入力",IF(OR(A900&lt;設定!$C$8,A900&gt;設定!$C$9),"⚠期間外",IF(COUNTIF(設定!$B$15:$B$29,B900)=0,"⚠項目不明",""))))</f>
        <v/>
      </c>
    </row>
    <row r="901" customFormat="false" ht="15" hidden="false" customHeight="false" outlineLevel="0" collapsed="false">
      <c r="A901" s="30"/>
      <c r="B901" s="31"/>
      <c r="C901" s="32"/>
      <c r="D901" s="31"/>
      <c r="E901" s="33" t="str">
        <f aca="false">IF(COUNTA(A901:D901)=0,"",IF(COUNTA(A901:C901)&lt;3,"⚠未入力",IF(OR(A901&lt;設定!$C$8,A901&gt;設定!$C$9),"⚠期間外",IF(COUNTIF(設定!$B$15:$B$29,B901)=0,"⚠項目不明",""))))</f>
        <v/>
      </c>
    </row>
    <row r="902" customFormat="false" ht="15" hidden="false" customHeight="false" outlineLevel="0" collapsed="false">
      <c r="A902" s="30"/>
      <c r="B902" s="31"/>
      <c r="C902" s="32"/>
      <c r="D902" s="31"/>
      <c r="E902" s="33" t="str">
        <f aca="false">IF(COUNTA(A902:D902)=0,"",IF(COUNTA(A902:C902)&lt;3,"⚠未入力",IF(OR(A902&lt;設定!$C$8,A902&gt;設定!$C$9),"⚠期間外",IF(COUNTIF(設定!$B$15:$B$29,B902)=0,"⚠項目不明",""))))</f>
        <v/>
      </c>
    </row>
    <row r="903" customFormat="false" ht="15" hidden="false" customHeight="false" outlineLevel="0" collapsed="false">
      <c r="A903" s="30"/>
      <c r="B903" s="31"/>
      <c r="C903" s="32"/>
      <c r="D903" s="31"/>
      <c r="E903" s="33" t="str">
        <f aca="false">IF(COUNTA(A903:D903)=0,"",IF(COUNTA(A903:C903)&lt;3,"⚠未入力",IF(OR(A903&lt;設定!$C$8,A903&gt;設定!$C$9),"⚠期間外",IF(COUNTIF(設定!$B$15:$B$29,B903)=0,"⚠項目不明",""))))</f>
        <v/>
      </c>
    </row>
    <row r="904" customFormat="false" ht="15" hidden="false" customHeight="false" outlineLevel="0" collapsed="false">
      <c r="A904" s="30"/>
      <c r="B904" s="31"/>
      <c r="C904" s="32"/>
      <c r="D904" s="31"/>
      <c r="E904" s="33" t="str">
        <f aca="false">IF(COUNTA(A904:D904)=0,"",IF(COUNTA(A904:C904)&lt;3,"⚠未入力",IF(OR(A904&lt;設定!$C$8,A904&gt;設定!$C$9),"⚠期間外",IF(COUNTIF(設定!$B$15:$B$29,B904)=0,"⚠項目不明",""))))</f>
        <v/>
      </c>
    </row>
    <row r="905" customFormat="false" ht="15" hidden="false" customHeight="false" outlineLevel="0" collapsed="false">
      <c r="A905" s="30"/>
      <c r="B905" s="31"/>
      <c r="C905" s="32"/>
      <c r="D905" s="31"/>
      <c r="E905" s="33" t="str">
        <f aca="false">IF(COUNTA(A905:D905)=0,"",IF(COUNTA(A905:C905)&lt;3,"⚠未入力",IF(OR(A905&lt;設定!$C$8,A905&gt;設定!$C$9),"⚠期間外",IF(COUNTIF(設定!$B$15:$B$29,B905)=0,"⚠項目不明",""))))</f>
        <v/>
      </c>
    </row>
    <row r="906" customFormat="false" ht="15" hidden="false" customHeight="false" outlineLevel="0" collapsed="false">
      <c r="A906" s="30"/>
      <c r="B906" s="31"/>
      <c r="C906" s="32"/>
      <c r="D906" s="31"/>
      <c r="E906" s="33" t="str">
        <f aca="false">IF(COUNTA(A906:D906)=0,"",IF(COUNTA(A906:C906)&lt;3,"⚠未入力",IF(OR(A906&lt;設定!$C$8,A906&gt;設定!$C$9),"⚠期間外",IF(COUNTIF(設定!$B$15:$B$29,B906)=0,"⚠項目不明",""))))</f>
        <v/>
      </c>
    </row>
    <row r="907" customFormat="false" ht="15" hidden="false" customHeight="false" outlineLevel="0" collapsed="false">
      <c r="A907" s="30"/>
      <c r="B907" s="31"/>
      <c r="C907" s="32"/>
      <c r="D907" s="31"/>
      <c r="E907" s="33" t="str">
        <f aca="false">IF(COUNTA(A907:D907)=0,"",IF(COUNTA(A907:C907)&lt;3,"⚠未入力",IF(OR(A907&lt;設定!$C$8,A907&gt;設定!$C$9),"⚠期間外",IF(COUNTIF(設定!$B$15:$B$29,B907)=0,"⚠項目不明",""))))</f>
        <v/>
      </c>
    </row>
    <row r="908" customFormat="false" ht="15" hidden="false" customHeight="false" outlineLevel="0" collapsed="false">
      <c r="A908" s="30"/>
      <c r="B908" s="31"/>
      <c r="C908" s="32"/>
      <c r="D908" s="31"/>
      <c r="E908" s="33" t="str">
        <f aca="false">IF(COUNTA(A908:D908)=0,"",IF(COUNTA(A908:C908)&lt;3,"⚠未入力",IF(OR(A908&lt;設定!$C$8,A908&gt;設定!$C$9),"⚠期間外",IF(COUNTIF(設定!$B$15:$B$29,B908)=0,"⚠項目不明",""))))</f>
        <v/>
      </c>
    </row>
    <row r="909" customFormat="false" ht="15" hidden="false" customHeight="false" outlineLevel="0" collapsed="false">
      <c r="A909" s="30"/>
      <c r="B909" s="31"/>
      <c r="C909" s="32"/>
      <c r="D909" s="31"/>
      <c r="E909" s="33" t="str">
        <f aca="false">IF(COUNTA(A909:D909)=0,"",IF(COUNTA(A909:C909)&lt;3,"⚠未入力",IF(OR(A909&lt;設定!$C$8,A909&gt;設定!$C$9),"⚠期間外",IF(COUNTIF(設定!$B$15:$B$29,B909)=0,"⚠項目不明",""))))</f>
        <v/>
      </c>
    </row>
    <row r="910" customFormat="false" ht="15" hidden="false" customHeight="false" outlineLevel="0" collapsed="false">
      <c r="A910" s="30"/>
      <c r="B910" s="31"/>
      <c r="C910" s="32"/>
      <c r="D910" s="31"/>
      <c r="E910" s="33" t="str">
        <f aca="false">IF(COUNTA(A910:D910)=0,"",IF(COUNTA(A910:C910)&lt;3,"⚠未入力",IF(OR(A910&lt;設定!$C$8,A910&gt;設定!$C$9),"⚠期間外",IF(COUNTIF(設定!$B$15:$B$29,B910)=0,"⚠項目不明",""))))</f>
        <v/>
      </c>
    </row>
    <row r="911" customFormat="false" ht="15" hidden="false" customHeight="false" outlineLevel="0" collapsed="false">
      <c r="A911" s="30"/>
      <c r="B911" s="31"/>
      <c r="C911" s="32"/>
      <c r="D911" s="31"/>
      <c r="E911" s="33" t="str">
        <f aca="false">IF(COUNTA(A911:D911)=0,"",IF(COUNTA(A911:C911)&lt;3,"⚠未入力",IF(OR(A911&lt;設定!$C$8,A911&gt;設定!$C$9),"⚠期間外",IF(COUNTIF(設定!$B$15:$B$29,B911)=0,"⚠項目不明",""))))</f>
        <v/>
      </c>
    </row>
    <row r="912" customFormat="false" ht="15" hidden="false" customHeight="false" outlineLevel="0" collapsed="false">
      <c r="A912" s="30"/>
      <c r="B912" s="31"/>
      <c r="C912" s="32"/>
      <c r="D912" s="31"/>
      <c r="E912" s="33" t="str">
        <f aca="false">IF(COUNTA(A912:D912)=0,"",IF(COUNTA(A912:C912)&lt;3,"⚠未入力",IF(OR(A912&lt;設定!$C$8,A912&gt;設定!$C$9),"⚠期間外",IF(COUNTIF(設定!$B$15:$B$29,B912)=0,"⚠項目不明",""))))</f>
        <v/>
      </c>
    </row>
    <row r="913" customFormat="false" ht="15" hidden="false" customHeight="false" outlineLevel="0" collapsed="false">
      <c r="A913" s="30"/>
      <c r="B913" s="31"/>
      <c r="C913" s="32"/>
      <c r="D913" s="31"/>
      <c r="E913" s="33" t="str">
        <f aca="false">IF(COUNTA(A913:D913)=0,"",IF(COUNTA(A913:C913)&lt;3,"⚠未入力",IF(OR(A913&lt;設定!$C$8,A913&gt;設定!$C$9),"⚠期間外",IF(COUNTIF(設定!$B$15:$B$29,B913)=0,"⚠項目不明",""))))</f>
        <v/>
      </c>
    </row>
    <row r="914" customFormat="false" ht="15" hidden="false" customHeight="false" outlineLevel="0" collapsed="false">
      <c r="A914" s="30"/>
      <c r="B914" s="31"/>
      <c r="C914" s="32"/>
      <c r="D914" s="31"/>
      <c r="E914" s="33" t="str">
        <f aca="false">IF(COUNTA(A914:D914)=0,"",IF(COUNTA(A914:C914)&lt;3,"⚠未入力",IF(OR(A914&lt;設定!$C$8,A914&gt;設定!$C$9),"⚠期間外",IF(COUNTIF(設定!$B$15:$B$29,B914)=0,"⚠項目不明",""))))</f>
        <v/>
      </c>
    </row>
    <row r="915" customFormat="false" ht="15" hidden="false" customHeight="false" outlineLevel="0" collapsed="false">
      <c r="A915" s="30"/>
      <c r="B915" s="31"/>
      <c r="C915" s="32"/>
      <c r="D915" s="31"/>
      <c r="E915" s="33" t="str">
        <f aca="false">IF(COUNTA(A915:D915)=0,"",IF(COUNTA(A915:C915)&lt;3,"⚠未入力",IF(OR(A915&lt;設定!$C$8,A915&gt;設定!$C$9),"⚠期間外",IF(COUNTIF(設定!$B$15:$B$29,B915)=0,"⚠項目不明",""))))</f>
        <v/>
      </c>
    </row>
    <row r="916" customFormat="false" ht="15" hidden="false" customHeight="false" outlineLevel="0" collapsed="false">
      <c r="A916" s="30"/>
      <c r="B916" s="31"/>
      <c r="C916" s="32"/>
      <c r="D916" s="31"/>
      <c r="E916" s="33" t="str">
        <f aca="false">IF(COUNTA(A916:D916)=0,"",IF(COUNTA(A916:C916)&lt;3,"⚠未入力",IF(OR(A916&lt;設定!$C$8,A916&gt;設定!$C$9),"⚠期間外",IF(COUNTIF(設定!$B$15:$B$29,B916)=0,"⚠項目不明",""))))</f>
        <v/>
      </c>
    </row>
    <row r="917" customFormat="false" ht="15" hidden="false" customHeight="false" outlineLevel="0" collapsed="false">
      <c r="A917" s="30"/>
      <c r="B917" s="31"/>
      <c r="C917" s="32"/>
      <c r="D917" s="31"/>
      <c r="E917" s="33" t="str">
        <f aca="false">IF(COUNTA(A917:D917)=0,"",IF(COUNTA(A917:C917)&lt;3,"⚠未入力",IF(OR(A917&lt;設定!$C$8,A917&gt;設定!$C$9),"⚠期間外",IF(COUNTIF(設定!$B$15:$B$29,B917)=0,"⚠項目不明",""))))</f>
        <v/>
      </c>
    </row>
    <row r="918" customFormat="false" ht="15" hidden="false" customHeight="false" outlineLevel="0" collapsed="false">
      <c r="A918" s="30"/>
      <c r="B918" s="31"/>
      <c r="C918" s="32"/>
      <c r="D918" s="31"/>
      <c r="E918" s="33" t="str">
        <f aca="false">IF(COUNTA(A918:D918)=0,"",IF(COUNTA(A918:C918)&lt;3,"⚠未入力",IF(OR(A918&lt;設定!$C$8,A918&gt;設定!$C$9),"⚠期間外",IF(COUNTIF(設定!$B$15:$B$29,B918)=0,"⚠項目不明",""))))</f>
        <v/>
      </c>
    </row>
    <row r="919" customFormat="false" ht="15" hidden="false" customHeight="false" outlineLevel="0" collapsed="false">
      <c r="A919" s="30"/>
      <c r="B919" s="31"/>
      <c r="C919" s="32"/>
      <c r="D919" s="31"/>
      <c r="E919" s="33" t="str">
        <f aca="false">IF(COUNTA(A919:D919)=0,"",IF(COUNTA(A919:C919)&lt;3,"⚠未入力",IF(OR(A919&lt;設定!$C$8,A919&gt;設定!$C$9),"⚠期間外",IF(COUNTIF(設定!$B$15:$B$29,B919)=0,"⚠項目不明",""))))</f>
        <v/>
      </c>
    </row>
    <row r="920" customFormat="false" ht="15" hidden="false" customHeight="false" outlineLevel="0" collapsed="false">
      <c r="A920" s="30"/>
      <c r="B920" s="31"/>
      <c r="C920" s="32"/>
      <c r="D920" s="31"/>
      <c r="E920" s="33" t="str">
        <f aca="false">IF(COUNTA(A920:D920)=0,"",IF(COUNTA(A920:C920)&lt;3,"⚠未入力",IF(OR(A920&lt;設定!$C$8,A920&gt;設定!$C$9),"⚠期間外",IF(COUNTIF(設定!$B$15:$B$29,B920)=0,"⚠項目不明",""))))</f>
        <v/>
      </c>
    </row>
    <row r="921" customFormat="false" ht="15" hidden="false" customHeight="false" outlineLevel="0" collapsed="false">
      <c r="A921" s="30"/>
      <c r="B921" s="31"/>
      <c r="C921" s="32"/>
      <c r="D921" s="31"/>
      <c r="E921" s="33" t="str">
        <f aca="false">IF(COUNTA(A921:D921)=0,"",IF(COUNTA(A921:C921)&lt;3,"⚠未入力",IF(OR(A921&lt;設定!$C$8,A921&gt;設定!$C$9),"⚠期間外",IF(COUNTIF(設定!$B$15:$B$29,B921)=0,"⚠項目不明",""))))</f>
        <v/>
      </c>
    </row>
    <row r="922" customFormat="false" ht="15" hidden="false" customHeight="false" outlineLevel="0" collapsed="false">
      <c r="A922" s="30"/>
      <c r="B922" s="31"/>
      <c r="C922" s="32"/>
      <c r="D922" s="31"/>
      <c r="E922" s="33" t="str">
        <f aca="false">IF(COUNTA(A922:D922)=0,"",IF(COUNTA(A922:C922)&lt;3,"⚠未入力",IF(OR(A922&lt;設定!$C$8,A922&gt;設定!$C$9),"⚠期間外",IF(COUNTIF(設定!$B$15:$B$29,B922)=0,"⚠項目不明",""))))</f>
        <v/>
      </c>
    </row>
    <row r="923" customFormat="false" ht="15" hidden="false" customHeight="false" outlineLevel="0" collapsed="false">
      <c r="A923" s="30"/>
      <c r="B923" s="31"/>
      <c r="C923" s="32"/>
      <c r="D923" s="31"/>
      <c r="E923" s="33" t="str">
        <f aca="false">IF(COUNTA(A923:D923)=0,"",IF(COUNTA(A923:C923)&lt;3,"⚠未入力",IF(OR(A923&lt;設定!$C$8,A923&gt;設定!$C$9),"⚠期間外",IF(COUNTIF(設定!$B$15:$B$29,B923)=0,"⚠項目不明",""))))</f>
        <v/>
      </c>
    </row>
    <row r="924" customFormat="false" ht="15" hidden="false" customHeight="false" outlineLevel="0" collapsed="false">
      <c r="A924" s="30"/>
      <c r="B924" s="31"/>
      <c r="C924" s="32"/>
      <c r="D924" s="31"/>
      <c r="E924" s="33" t="str">
        <f aca="false">IF(COUNTA(A924:D924)=0,"",IF(COUNTA(A924:C924)&lt;3,"⚠未入力",IF(OR(A924&lt;設定!$C$8,A924&gt;設定!$C$9),"⚠期間外",IF(COUNTIF(設定!$B$15:$B$29,B924)=0,"⚠項目不明",""))))</f>
        <v/>
      </c>
    </row>
    <row r="925" customFormat="false" ht="15" hidden="false" customHeight="false" outlineLevel="0" collapsed="false">
      <c r="A925" s="30"/>
      <c r="B925" s="31"/>
      <c r="C925" s="32"/>
      <c r="D925" s="31"/>
      <c r="E925" s="33" t="str">
        <f aca="false">IF(COUNTA(A925:D925)=0,"",IF(COUNTA(A925:C925)&lt;3,"⚠未入力",IF(OR(A925&lt;設定!$C$8,A925&gt;設定!$C$9),"⚠期間外",IF(COUNTIF(設定!$B$15:$B$29,B925)=0,"⚠項目不明",""))))</f>
        <v/>
      </c>
    </row>
    <row r="926" customFormat="false" ht="15" hidden="false" customHeight="false" outlineLevel="0" collapsed="false">
      <c r="A926" s="30"/>
      <c r="B926" s="31"/>
      <c r="C926" s="32"/>
      <c r="D926" s="31"/>
      <c r="E926" s="33" t="str">
        <f aca="false">IF(COUNTA(A926:D926)=0,"",IF(COUNTA(A926:C926)&lt;3,"⚠未入力",IF(OR(A926&lt;設定!$C$8,A926&gt;設定!$C$9),"⚠期間外",IF(COUNTIF(設定!$B$15:$B$29,B926)=0,"⚠項目不明",""))))</f>
        <v/>
      </c>
    </row>
    <row r="927" customFormat="false" ht="15" hidden="false" customHeight="false" outlineLevel="0" collapsed="false">
      <c r="A927" s="30"/>
      <c r="B927" s="31"/>
      <c r="C927" s="32"/>
      <c r="D927" s="31"/>
      <c r="E927" s="33" t="str">
        <f aca="false">IF(COUNTA(A927:D927)=0,"",IF(COUNTA(A927:C927)&lt;3,"⚠未入力",IF(OR(A927&lt;設定!$C$8,A927&gt;設定!$C$9),"⚠期間外",IF(COUNTIF(設定!$B$15:$B$29,B927)=0,"⚠項目不明",""))))</f>
        <v/>
      </c>
    </row>
    <row r="928" customFormat="false" ht="15" hidden="false" customHeight="false" outlineLevel="0" collapsed="false">
      <c r="A928" s="30"/>
      <c r="B928" s="31"/>
      <c r="C928" s="32"/>
      <c r="D928" s="31"/>
      <c r="E928" s="33" t="str">
        <f aca="false">IF(COUNTA(A928:D928)=0,"",IF(COUNTA(A928:C928)&lt;3,"⚠未入力",IF(OR(A928&lt;設定!$C$8,A928&gt;設定!$C$9),"⚠期間外",IF(COUNTIF(設定!$B$15:$B$29,B928)=0,"⚠項目不明",""))))</f>
        <v/>
      </c>
    </row>
    <row r="929" customFormat="false" ht="15" hidden="false" customHeight="false" outlineLevel="0" collapsed="false">
      <c r="A929" s="30"/>
      <c r="B929" s="31"/>
      <c r="C929" s="32"/>
      <c r="D929" s="31"/>
      <c r="E929" s="33" t="str">
        <f aca="false">IF(COUNTA(A929:D929)=0,"",IF(COUNTA(A929:C929)&lt;3,"⚠未入力",IF(OR(A929&lt;設定!$C$8,A929&gt;設定!$C$9),"⚠期間外",IF(COUNTIF(設定!$B$15:$B$29,B929)=0,"⚠項目不明",""))))</f>
        <v/>
      </c>
    </row>
    <row r="930" customFormat="false" ht="15" hidden="false" customHeight="false" outlineLevel="0" collapsed="false">
      <c r="A930" s="30"/>
      <c r="B930" s="31"/>
      <c r="C930" s="32"/>
      <c r="D930" s="31"/>
      <c r="E930" s="33" t="str">
        <f aca="false">IF(COUNTA(A930:D930)=0,"",IF(COUNTA(A930:C930)&lt;3,"⚠未入力",IF(OR(A930&lt;設定!$C$8,A930&gt;設定!$C$9),"⚠期間外",IF(COUNTIF(設定!$B$15:$B$29,B930)=0,"⚠項目不明",""))))</f>
        <v/>
      </c>
    </row>
    <row r="931" customFormat="false" ht="15" hidden="false" customHeight="false" outlineLevel="0" collapsed="false">
      <c r="A931" s="30"/>
      <c r="B931" s="31"/>
      <c r="C931" s="32"/>
      <c r="D931" s="31"/>
      <c r="E931" s="33" t="str">
        <f aca="false">IF(COUNTA(A931:D931)=0,"",IF(COUNTA(A931:C931)&lt;3,"⚠未入力",IF(OR(A931&lt;設定!$C$8,A931&gt;設定!$C$9),"⚠期間外",IF(COUNTIF(設定!$B$15:$B$29,B931)=0,"⚠項目不明",""))))</f>
        <v/>
      </c>
    </row>
    <row r="932" customFormat="false" ht="15" hidden="false" customHeight="false" outlineLevel="0" collapsed="false">
      <c r="A932" s="30"/>
      <c r="B932" s="31"/>
      <c r="C932" s="32"/>
      <c r="D932" s="31"/>
      <c r="E932" s="33" t="str">
        <f aca="false">IF(COUNTA(A932:D932)=0,"",IF(COUNTA(A932:C932)&lt;3,"⚠未入力",IF(OR(A932&lt;設定!$C$8,A932&gt;設定!$C$9),"⚠期間外",IF(COUNTIF(設定!$B$15:$B$29,B932)=0,"⚠項目不明",""))))</f>
        <v/>
      </c>
    </row>
    <row r="933" customFormat="false" ht="15" hidden="false" customHeight="false" outlineLevel="0" collapsed="false">
      <c r="A933" s="30"/>
      <c r="B933" s="31"/>
      <c r="C933" s="32"/>
      <c r="D933" s="31"/>
      <c r="E933" s="33" t="str">
        <f aca="false">IF(COUNTA(A933:D933)=0,"",IF(COUNTA(A933:C933)&lt;3,"⚠未入力",IF(OR(A933&lt;設定!$C$8,A933&gt;設定!$C$9),"⚠期間外",IF(COUNTIF(設定!$B$15:$B$29,B933)=0,"⚠項目不明",""))))</f>
        <v/>
      </c>
    </row>
    <row r="934" customFormat="false" ht="15" hidden="false" customHeight="false" outlineLevel="0" collapsed="false">
      <c r="A934" s="30"/>
      <c r="B934" s="31"/>
      <c r="C934" s="32"/>
      <c r="D934" s="31"/>
      <c r="E934" s="33" t="str">
        <f aca="false">IF(COUNTA(A934:D934)=0,"",IF(COUNTA(A934:C934)&lt;3,"⚠未入力",IF(OR(A934&lt;設定!$C$8,A934&gt;設定!$C$9),"⚠期間外",IF(COUNTIF(設定!$B$15:$B$29,B934)=0,"⚠項目不明",""))))</f>
        <v/>
      </c>
    </row>
    <row r="935" customFormat="false" ht="15" hidden="false" customHeight="false" outlineLevel="0" collapsed="false">
      <c r="A935" s="30"/>
      <c r="B935" s="31"/>
      <c r="C935" s="32"/>
      <c r="D935" s="31"/>
      <c r="E935" s="33" t="str">
        <f aca="false">IF(COUNTA(A935:D935)=0,"",IF(COUNTA(A935:C935)&lt;3,"⚠未入力",IF(OR(A935&lt;設定!$C$8,A935&gt;設定!$C$9),"⚠期間外",IF(COUNTIF(設定!$B$15:$B$29,B935)=0,"⚠項目不明",""))))</f>
        <v/>
      </c>
    </row>
    <row r="936" customFormat="false" ht="15" hidden="false" customHeight="false" outlineLevel="0" collapsed="false">
      <c r="A936" s="30"/>
      <c r="B936" s="31"/>
      <c r="C936" s="32"/>
      <c r="D936" s="31"/>
      <c r="E936" s="33" t="str">
        <f aca="false">IF(COUNTA(A936:D936)=0,"",IF(COUNTA(A936:C936)&lt;3,"⚠未入力",IF(OR(A936&lt;設定!$C$8,A936&gt;設定!$C$9),"⚠期間外",IF(COUNTIF(設定!$B$15:$B$29,B936)=0,"⚠項目不明",""))))</f>
        <v/>
      </c>
    </row>
    <row r="937" customFormat="false" ht="15" hidden="false" customHeight="false" outlineLevel="0" collapsed="false">
      <c r="A937" s="30"/>
      <c r="B937" s="31"/>
      <c r="C937" s="32"/>
      <c r="D937" s="31"/>
      <c r="E937" s="33" t="str">
        <f aca="false">IF(COUNTA(A937:D937)=0,"",IF(COUNTA(A937:C937)&lt;3,"⚠未入力",IF(OR(A937&lt;設定!$C$8,A937&gt;設定!$C$9),"⚠期間外",IF(COUNTIF(設定!$B$15:$B$29,B937)=0,"⚠項目不明",""))))</f>
        <v/>
      </c>
    </row>
    <row r="938" customFormat="false" ht="15" hidden="false" customHeight="false" outlineLevel="0" collapsed="false">
      <c r="A938" s="30"/>
      <c r="B938" s="31"/>
      <c r="C938" s="32"/>
      <c r="D938" s="31"/>
      <c r="E938" s="33" t="str">
        <f aca="false">IF(COUNTA(A938:D938)=0,"",IF(COUNTA(A938:C938)&lt;3,"⚠未入力",IF(OR(A938&lt;設定!$C$8,A938&gt;設定!$C$9),"⚠期間外",IF(COUNTIF(設定!$B$15:$B$29,B938)=0,"⚠項目不明",""))))</f>
        <v/>
      </c>
    </row>
    <row r="939" customFormat="false" ht="15" hidden="false" customHeight="false" outlineLevel="0" collapsed="false">
      <c r="A939" s="30"/>
      <c r="B939" s="31"/>
      <c r="C939" s="32"/>
      <c r="D939" s="31"/>
      <c r="E939" s="33" t="str">
        <f aca="false">IF(COUNTA(A939:D939)=0,"",IF(COUNTA(A939:C939)&lt;3,"⚠未入力",IF(OR(A939&lt;設定!$C$8,A939&gt;設定!$C$9),"⚠期間外",IF(COUNTIF(設定!$B$15:$B$29,B939)=0,"⚠項目不明",""))))</f>
        <v/>
      </c>
    </row>
    <row r="940" customFormat="false" ht="15" hidden="false" customHeight="false" outlineLevel="0" collapsed="false">
      <c r="A940" s="30"/>
      <c r="B940" s="31"/>
      <c r="C940" s="32"/>
      <c r="D940" s="31"/>
      <c r="E940" s="33" t="str">
        <f aca="false">IF(COUNTA(A940:D940)=0,"",IF(COUNTA(A940:C940)&lt;3,"⚠未入力",IF(OR(A940&lt;設定!$C$8,A940&gt;設定!$C$9),"⚠期間外",IF(COUNTIF(設定!$B$15:$B$29,B940)=0,"⚠項目不明",""))))</f>
        <v/>
      </c>
    </row>
    <row r="941" customFormat="false" ht="15" hidden="false" customHeight="false" outlineLevel="0" collapsed="false">
      <c r="A941" s="30"/>
      <c r="B941" s="31"/>
      <c r="C941" s="32"/>
      <c r="D941" s="31"/>
      <c r="E941" s="33" t="str">
        <f aca="false">IF(COUNTA(A941:D941)=0,"",IF(COUNTA(A941:C941)&lt;3,"⚠未入力",IF(OR(A941&lt;設定!$C$8,A941&gt;設定!$C$9),"⚠期間外",IF(COUNTIF(設定!$B$15:$B$29,B941)=0,"⚠項目不明",""))))</f>
        <v/>
      </c>
    </row>
    <row r="942" customFormat="false" ht="15" hidden="false" customHeight="false" outlineLevel="0" collapsed="false">
      <c r="A942" s="30"/>
      <c r="B942" s="31"/>
      <c r="C942" s="32"/>
      <c r="D942" s="31"/>
      <c r="E942" s="33" t="str">
        <f aca="false">IF(COUNTA(A942:D942)=0,"",IF(COUNTA(A942:C942)&lt;3,"⚠未入力",IF(OR(A942&lt;設定!$C$8,A942&gt;設定!$C$9),"⚠期間外",IF(COUNTIF(設定!$B$15:$B$29,B942)=0,"⚠項目不明",""))))</f>
        <v/>
      </c>
    </row>
    <row r="943" customFormat="false" ht="15" hidden="false" customHeight="false" outlineLevel="0" collapsed="false">
      <c r="A943" s="30"/>
      <c r="B943" s="31"/>
      <c r="C943" s="32"/>
      <c r="D943" s="31"/>
      <c r="E943" s="33" t="str">
        <f aca="false">IF(COUNTA(A943:D943)=0,"",IF(COUNTA(A943:C943)&lt;3,"⚠未入力",IF(OR(A943&lt;設定!$C$8,A943&gt;設定!$C$9),"⚠期間外",IF(COUNTIF(設定!$B$15:$B$29,B943)=0,"⚠項目不明",""))))</f>
        <v/>
      </c>
    </row>
    <row r="944" customFormat="false" ht="15" hidden="false" customHeight="false" outlineLevel="0" collapsed="false">
      <c r="A944" s="30"/>
      <c r="B944" s="31"/>
      <c r="C944" s="32"/>
      <c r="D944" s="31"/>
      <c r="E944" s="33" t="str">
        <f aca="false">IF(COUNTA(A944:D944)=0,"",IF(COUNTA(A944:C944)&lt;3,"⚠未入力",IF(OR(A944&lt;設定!$C$8,A944&gt;設定!$C$9),"⚠期間外",IF(COUNTIF(設定!$B$15:$B$29,B944)=0,"⚠項目不明",""))))</f>
        <v/>
      </c>
    </row>
    <row r="945" customFormat="false" ht="15" hidden="false" customHeight="false" outlineLevel="0" collapsed="false">
      <c r="A945" s="30"/>
      <c r="B945" s="31"/>
      <c r="C945" s="32"/>
      <c r="D945" s="31"/>
      <c r="E945" s="33" t="str">
        <f aca="false">IF(COUNTA(A945:D945)=0,"",IF(COUNTA(A945:C945)&lt;3,"⚠未入力",IF(OR(A945&lt;設定!$C$8,A945&gt;設定!$C$9),"⚠期間外",IF(COUNTIF(設定!$B$15:$B$29,B945)=0,"⚠項目不明",""))))</f>
        <v/>
      </c>
    </row>
    <row r="946" customFormat="false" ht="15" hidden="false" customHeight="false" outlineLevel="0" collapsed="false">
      <c r="A946" s="30"/>
      <c r="B946" s="31"/>
      <c r="C946" s="32"/>
      <c r="D946" s="31"/>
      <c r="E946" s="33" t="str">
        <f aca="false">IF(COUNTA(A946:D946)=0,"",IF(COUNTA(A946:C946)&lt;3,"⚠未入力",IF(OR(A946&lt;設定!$C$8,A946&gt;設定!$C$9),"⚠期間外",IF(COUNTIF(設定!$B$15:$B$29,B946)=0,"⚠項目不明",""))))</f>
        <v/>
      </c>
    </row>
    <row r="947" customFormat="false" ht="15" hidden="false" customHeight="false" outlineLevel="0" collapsed="false">
      <c r="A947" s="30"/>
      <c r="B947" s="31"/>
      <c r="C947" s="32"/>
      <c r="D947" s="31"/>
      <c r="E947" s="33" t="str">
        <f aca="false">IF(COUNTA(A947:D947)=0,"",IF(COUNTA(A947:C947)&lt;3,"⚠未入力",IF(OR(A947&lt;設定!$C$8,A947&gt;設定!$C$9),"⚠期間外",IF(COUNTIF(設定!$B$15:$B$29,B947)=0,"⚠項目不明",""))))</f>
        <v/>
      </c>
    </row>
    <row r="948" customFormat="false" ht="15" hidden="false" customHeight="false" outlineLevel="0" collapsed="false">
      <c r="A948" s="30"/>
      <c r="B948" s="31"/>
      <c r="C948" s="32"/>
      <c r="D948" s="31"/>
      <c r="E948" s="33" t="str">
        <f aca="false">IF(COUNTA(A948:D948)=0,"",IF(COUNTA(A948:C948)&lt;3,"⚠未入力",IF(OR(A948&lt;設定!$C$8,A948&gt;設定!$C$9),"⚠期間外",IF(COUNTIF(設定!$B$15:$B$29,B948)=0,"⚠項目不明",""))))</f>
        <v/>
      </c>
    </row>
    <row r="949" customFormat="false" ht="15" hidden="false" customHeight="false" outlineLevel="0" collapsed="false">
      <c r="A949" s="30"/>
      <c r="B949" s="31"/>
      <c r="C949" s="32"/>
      <c r="D949" s="31"/>
      <c r="E949" s="33" t="str">
        <f aca="false">IF(COUNTA(A949:D949)=0,"",IF(COUNTA(A949:C949)&lt;3,"⚠未入力",IF(OR(A949&lt;設定!$C$8,A949&gt;設定!$C$9),"⚠期間外",IF(COUNTIF(設定!$B$15:$B$29,B949)=0,"⚠項目不明",""))))</f>
        <v/>
      </c>
    </row>
    <row r="950" customFormat="false" ht="15" hidden="false" customHeight="false" outlineLevel="0" collapsed="false">
      <c r="A950" s="30"/>
      <c r="B950" s="31"/>
      <c r="C950" s="32"/>
      <c r="D950" s="31"/>
      <c r="E950" s="33" t="str">
        <f aca="false">IF(COUNTA(A950:D950)=0,"",IF(COUNTA(A950:C950)&lt;3,"⚠未入力",IF(OR(A950&lt;設定!$C$8,A950&gt;設定!$C$9),"⚠期間外",IF(COUNTIF(設定!$B$15:$B$29,B950)=0,"⚠項目不明",""))))</f>
        <v/>
      </c>
    </row>
    <row r="951" customFormat="false" ht="15" hidden="false" customHeight="false" outlineLevel="0" collapsed="false">
      <c r="A951" s="30"/>
      <c r="B951" s="31"/>
      <c r="C951" s="32"/>
      <c r="D951" s="31"/>
      <c r="E951" s="33" t="str">
        <f aca="false">IF(COUNTA(A951:D951)=0,"",IF(COUNTA(A951:C951)&lt;3,"⚠未入力",IF(OR(A951&lt;設定!$C$8,A951&gt;設定!$C$9),"⚠期間外",IF(COUNTIF(設定!$B$15:$B$29,B951)=0,"⚠項目不明",""))))</f>
        <v/>
      </c>
    </row>
    <row r="952" customFormat="false" ht="15" hidden="false" customHeight="false" outlineLevel="0" collapsed="false">
      <c r="A952" s="30"/>
      <c r="B952" s="31"/>
      <c r="C952" s="32"/>
      <c r="D952" s="31"/>
      <c r="E952" s="33" t="str">
        <f aca="false">IF(COUNTA(A952:D952)=0,"",IF(COUNTA(A952:C952)&lt;3,"⚠未入力",IF(OR(A952&lt;設定!$C$8,A952&gt;設定!$C$9),"⚠期間外",IF(COUNTIF(設定!$B$15:$B$29,B952)=0,"⚠項目不明",""))))</f>
        <v/>
      </c>
    </row>
    <row r="953" customFormat="false" ht="15" hidden="false" customHeight="false" outlineLevel="0" collapsed="false">
      <c r="A953" s="30"/>
      <c r="B953" s="31"/>
      <c r="C953" s="32"/>
      <c r="D953" s="31"/>
      <c r="E953" s="33" t="str">
        <f aca="false">IF(COUNTA(A953:D953)=0,"",IF(COUNTA(A953:C953)&lt;3,"⚠未入力",IF(OR(A953&lt;設定!$C$8,A953&gt;設定!$C$9),"⚠期間外",IF(COUNTIF(設定!$B$15:$B$29,B953)=0,"⚠項目不明",""))))</f>
        <v/>
      </c>
    </row>
    <row r="954" customFormat="false" ht="15" hidden="false" customHeight="false" outlineLevel="0" collapsed="false">
      <c r="A954" s="30"/>
      <c r="B954" s="31"/>
      <c r="C954" s="32"/>
      <c r="D954" s="31"/>
      <c r="E954" s="33" t="str">
        <f aca="false">IF(COUNTA(A954:D954)=0,"",IF(COUNTA(A954:C954)&lt;3,"⚠未入力",IF(OR(A954&lt;設定!$C$8,A954&gt;設定!$C$9),"⚠期間外",IF(COUNTIF(設定!$B$15:$B$29,B954)=0,"⚠項目不明",""))))</f>
        <v/>
      </c>
    </row>
    <row r="955" customFormat="false" ht="15" hidden="false" customHeight="false" outlineLevel="0" collapsed="false">
      <c r="A955" s="30"/>
      <c r="B955" s="31"/>
      <c r="C955" s="32"/>
      <c r="D955" s="31"/>
      <c r="E955" s="33" t="str">
        <f aca="false">IF(COUNTA(A955:D955)=0,"",IF(COUNTA(A955:C955)&lt;3,"⚠未入力",IF(OR(A955&lt;設定!$C$8,A955&gt;設定!$C$9),"⚠期間外",IF(COUNTIF(設定!$B$15:$B$29,B955)=0,"⚠項目不明",""))))</f>
        <v/>
      </c>
    </row>
    <row r="956" customFormat="false" ht="15" hidden="false" customHeight="false" outlineLevel="0" collapsed="false">
      <c r="A956" s="30"/>
      <c r="B956" s="31"/>
      <c r="C956" s="32"/>
      <c r="D956" s="31"/>
      <c r="E956" s="33" t="str">
        <f aca="false">IF(COUNTA(A956:D956)=0,"",IF(COUNTA(A956:C956)&lt;3,"⚠未入力",IF(OR(A956&lt;設定!$C$8,A956&gt;設定!$C$9),"⚠期間外",IF(COUNTIF(設定!$B$15:$B$29,B956)=0,"⚠項目不明",""))))</f>
        <v/>
      </c>
    </row>
    <row r="957" customFormat="false" ht="15" hidden="false" customHeight="false" outlineLevel="0" collapsed="false">
      <c r="A957" s="30"/>
      <c r="B957" s="31"/>
      <c r="C957" s="32"/>
      <c r="D957" s="31"/>
      <c r="E957" s="33" t="str">
        <f aca="false">IF(COUNTA(A957:D957)=0,"",IF(COUNTA(A957:C957)&lt;3,"⚠未入力",IF(OR(A957&lt;設定!$C$8,A957&gt;設定!$C$9),"⚠期間外",IF(COUNTIF(設定!$B$15:$B$29,B957)=0,"⚠項目不明",""))))</f>
        <v/>
      </c>
    </row>
    <row r="958" customFormat="false" ht="15" hidden="false" customHeight="false" outlineLevel="0" collapsed="false">
      <c r="A958" s="30"/>
      <c r="B958" s="31"/>
      <c r="C958" s="32"/>
      <c r="D958" s="31"/>
      <c r="E958" s="33" t="str">
        <f aca="false">IF(COUNTA(A958:D958)=0,"",IF(COUNTA(A958:C958)&lt;3,"⚠未入力",IF(OR(A958&lt;設定!$C$8,A958&gt;設定!$C$9),"⚠期間外",IF(COUNTIF(設定!$B$15:$B$29,B958)=0,"⚠項目不明",""))))</f>
        <v/>
      </c>
    </row>
    <row r="959" customFormat="false" ht="15" hidden="false" customHeight="false" outlineLevel="0" collapsed="false">
      <c r="A959" s="30"/>
      <c r="B959" s="31"/>
      <c r="C959" s="32"/>
      <c r="D959" s="31"/>
      <c r="E959" s="33" t="str">
        <f aca="false">IF(COUNTA(A959:D959)=0,"",IF(COUNTA(A959:C959)&lt;3,"⚠未入力",IF(OR(A959&lt;設定!$C$8,A959&gt;設定!$C$9),"⚠期間外",IF(COUNTIF(設定!$B$15:$B$29,B959)=0,"⚠項目不明",""))))</f>
        <v/>
      </c>
    </row>
    <row r="960" customFormat="false" ht="15" hidden="false" customHeight="false" outlineLevel="0" collapsed="false">
      <c r="A960" s="30"/>
      <c r="B960" s="31"/>
      <c r="C960" s="32"/>
      <c r="D960" s="31"/>
      <c r="E960" s="33" t="str">
        <f aca="false">IF(COUNTA(A960:D960)=0,"",IF(COUNTA(A960:C960)&lt;3,"⚠未入力",IF(OR(A960&lt;設定!$C$8,A960&gt;設定!$C$9),"⚠期間外",IF(COUNTIF(設定!$B$15:$B$29,B960)=0,"⚠項目不明",""))))</f>
        <v/>
      </c>
    </row>
    <row r="961" customFormat="false" ht="15" hidden="false" customHeight="false" outlineLevel="0" collapsed="false">
      <c r="A961" s="30"/>
      <c r="B961" s="31"/>
      <c r="C961" s="32"/>
      <c r="D961" s="31"/>
      <c r="E961" s="33" t="str">
        <f aca="false">IF(COUNTA(A961:D961)=0,"",IF(COUNTA(A961:C961)&lt;3,"⚠未入力",IF(OR(A961&lt;設定!$C$8,A961&gt;設定!$C$9),"⚠期間外",IF(COUNTIF(設定!$B$15:$B$29,B961)=0,"⚠項目不明",""))))</f>
        <v/>
      </c>
    </row>
    <row r="962" customFormat="false" ht="15" hidden="false" customHeight="false" outlineLevel="0" collapsed="false">
      <c r="A962" s="30"/>
      <c r="B962" s="31"/>
      <c r="C962" s="32"/>
      <c r="D962" s="31"/>
      <c r="E962" s="33" t="str">
        <f aca="false">IF(COUNTA(A962:D962)=0,"",IF(COUNTA(A962:C962)&lt;3,"⚠未入力",IF(OR(A962&lt;設定!$C$8,A962&gt;設定!$C$9),"⚠期間外",IF(COUNTIF(設定!$B$15:$B$29,B962)=0,"⚠項目不明",""))))</f>
        <v/>
      </c>
    </row>
    <row r="963" customFormat="false" ht="15" hidden="false" customHeight="false" outlineLevel="0" collapsed="false">
      <c r="A963" s="30"/>
      <c r="B963" s="31"/>
      <c r="C963" s="32"/>
      <c r="D963" s="31"/>
      <c r="E963" s="33" t="str">
        <f aca="false">IF(COUNTA(A963:D963)=0,"",IF(COUNTA(A963:C963)&lt;3,"⚠未入力",IF(OR(A963&lt;設定!$C$8,A963&gt;設定!$C$9),"⚠期間外",IF(COUNTIF(設定!$B$15:$B$29,B963)=0,"⚠項目不明",""))))</f>
        <v/>
      </c>
    </row>
    <row r="964" customFormat="false" ht="15" hidden="false" customHeight="false" outlineLevel="0" collapsed="false">
      <c r="A964" s="30"/>
      <c r="B964" s="31"/>
      <c r="C964" s="32"/>
      <c r="D964" s="31"/>
      <c r="E964" s="33" t="str">
        <f aca="false">IF(COUNTA(A964:D964)=0,"",IF(COUNTA(A964:C964)&lt;3,"⚠未入力",IF(OR(A964&lt;設定!$C$8,A964&gt;設定!$C$9),"⚠期間外",IF(COUNTIF(設定!$B$15:$B$29,B964)=0,"⚠項目不明",""))))</f>
        <v/>
      </c>
    </row>
    <row r="965" customFormat="false" ht="15" hidden="false" customHeight="false" outlineLevel="0" collapsed="false">
      <c r="A965" s="30"/>
      <c r="B965" s="31"/>
      <c r="C965" s="32"/>
      <c r="D965" s="31"/>
      <c r="E965" s="33" t="str">
        <f aca="false">IF(COUNTA(A965:D965)=0,"",IF(COUNTA(A965:C965)&lt;3,"⚠未入力",IF(OR(A965&lt;設定!$C$8,A965&gt;設定!$C$9),"⚠期間外",IF(COUNTIF(設定!$B$15:$B$29,B965)=0,"⚠項目不明",""))))</f>
        <v/>
      </c>
    </row>
    <row r="966" customFormat="false" ht="15" hidden="false" customHeight="false" outlineLevel="0" collapsed="false">
      <c r="A966" s="30"/>
      <c r="B966" s="31"/>
      <c r="C966" s="32"/>
      <c r="D966" s="31"/>
      <c r="E966" s="33" t="str">
        <f aca="false">IF(COUNTA(A966:D966)=0,"",IF(COUNTA(A966:C966)&lt;3,"⚠未入力",IF(OR(A966&lt;設定!$C$8,A966&gt;設定!$C$9),"⚠期間外",IF(COUNTIF(設定!$B$15:$B$29,B966)=0,"⚠項目不明",""))))</f>
        <v/>
      </c>
    </row>
    <row r="967" customFormat="false" ht="15" hidden="false" customHeight="false" outlineLevel="0" collapsed="false">
      <c r="A967" s="30"/>
      <c r="B967" s="31"/>
      <c r="C967" s="32"/>
      <c r="D967" s="31"/>
      <c r="E967" s="33" t="str">
        <f aca="false">IF(COUNTA(A967:D967)=0,"",IF(COUNTA(A967:C967)&lt;3,"⚠未入力",IF(OR(A967&lt;設定!$C$8,A967&gt;設定!$C$9),"⚠期間外",IF(COUNTIF(設定!$B$15:$B$29,B967)=0,"⚠項目不明",""))))</f>
        <v/>
      </c>
    </row>
    <row r="968" customFormat="false" ht="15" hidden="false" customHeight="false" outlineLevel="0" collapsed="false">
      <c r="A968" s="30"/>
      <c r="B968" s="31"/>
      <c r="C968" s="32"/>
      <c r="D968" s="31"/>
      <c r="E968" s="33" t="str">
        <f aca="false">IF(COUNTA(A968:D968)=0,"",IF(COUNTA(A968:C968)&lt;3,"⚠未入力",IF(OR(A968&lt;設定!$C$8,A968&gt;設定!$C$9),"⚠期間外",IF(COUNTIF(設定!$B$15:$B$29,B968)=0,"⚠項目不明",""))))</f>
        <v/>
      </c>
    </row>
    <row r="969" customFormat="false" ht="15" hidden="false" customHeight="false" outlineLevel="0" collapsed="false">
      <c r="A969" s="30"/>
      <c r="B969" s="31"/>
      <c r="C969" s="32"/>
      <c r="D969" s="31"/>
      <c r="E969" s="33" t="str">
        <f aca="false">IF(COUNTA(A969:D969)=0,"",IF(COUNTA(A969:C969)&lt;3,"⚠未入力",IF(OR(A969&lt;設定!$C$8,A969&gt;設定!$C$9),"⚠期間外",IF(COUNTIF(設定!$B$15:$B$29,B969)=0,"⚠項目不明",""))))</f>
        <v/>
      </c>
    </row>
    <row r="970" customFormat="false" ht="15" hidden="false" customHeight="false" outlineLevel="0" collapsed="false">
      <c r="A970" s="30"/>
      <c r="B970" s="31"/>
      <c r="C970" s="32"/>
      <c r="D970" s="31"/>
      <c r="E970" s="33" t="str">
        <f aca="false">IF(COUNTA(A970:D970)=0,"",IF(COUNTA(A970:C970)&lt;3,"⚠未入力",IF(OR(A970&lt;設定!$C$8,A970&gt;設定!$C$9),"⚠期間外",IF(COUNTIF(設定!$B$15:$B$29,B970)=0,"⚠項目不明",""))))</f>
        <v/>
      </c>
    </row>
    <row r="971" customFormat="false" ht="15" hidden="false" customHeight="false" outlineLevel="0" collapsed="false">
      <c r="A971" s="30"/>
      <c r="B971" s="31"/>
      <c r="C971" s="32"/>
      <c r="D971" s="31"/>
      <c r="E971" s="33" t="str">
        <f aca="false">IF(COUNTA(A971:D971)=0,"",IF(COUNTA(A971:C971)&lt;3,"⚠未入力",IF(OR(A971&lt;設定!$C$8,A971&gt;設定!$C$9),"⚠期間外",IF(COUNTIF(設定!$B$15:$B$29,B971)=0,"⚠項目不明",""))))</f>
        <v/>
      </c>
    </row>
    <row r="972" customFormat="false" ht="15" hidden="false" customHeight="false" outlineLevel="0" collapsed="false">
      <c r="A972" s="30"/>
      <c r="B972" s="31"/>
      <c r="C972" s="32"/>
      <c r="D972" s="31"/>
      <c r="E972" s="33" t="str">
        <f aca="false">IF(COUNTA(A972:D972)=0,"",IF(COUNTA(A972:C972)&lt;3,"⚠未入力",IF(OR(A972&lt;設定!$C$8,A972&gt;設定!$C$9),"⚠期間外",IF(COUNTIF(設定!$B$15:$B$29,B972)=0,"⚠項目不明",""))))</f>
        <v/>
      </c>
    </row>
    <row r="973" customFormat="false" ht="15" hidden="false" customHeight="false" outlineLevel="0" collapsed="false">
      <c r="A973" s="30"/>
      <c r="B973" s="31"/>
      <c r="C973" s="32"/>
      <c r="D973" s="31"/>
      <c r="E973" s="33" t="str">
        <f aca="false">IF(COUNTA(A973:D973)=0,"",IF(COUNTA(A973:C973)&lt;3,"⚠未入力",IF(OR(A973&lt;設定!$C$8,A973&gt;設定!$C$9),"⚠期間外",IF(COUNTIF(設定!$B$15:$B$29,B973)=0,"⚠項目不明",""))))</f>
        <v/>
      </c>
    </row>
    <row r="974" customFormat="false" ht="15" hidden="false" customHeight="false" outlineLevel="0" collapsed="false">
      <c r="A974" s="30"/>
      <c r="B974" s="31"/>
      <c r="C974" s="32"/>
      <c r="D974" s="31"/>
      <c r="E974" s="33" t="str">
        <f aca="false">IF(COUNTA(A974:D974)=0,"",IF(COUNTA(A974:C974)&lt;3,"⚠未入力",IF(OR(A974&lt;設定!$C$8,A974&gt;設定!$C$9),"⚠期間外",IF(COUNTIF(設定!$B$15:$B$29,B974)=0,"⚠項目不明",""))))</f>
        <v/>
      </c>
    </row>
    <row r="975" customFormat="false" ht="15" hidden="false" customHeight="false" outlineLevel="0" collapsed="false">
      <c r="A975" s="30"/>
      <c r="B975" s="31"/>
      <c r="C975" s="32"/>
      <c r="D975" s="31"/>
      <c r="E975" s="33" t="str">
        <f aca="false">IF(COUNTA(A975:D975)=0,"",IF(COUNTA(A975:C975)&lt;3,"⚠未入力",IF(OR(A975&lt;設定!$C$8,A975&gt;設定!$C$9),"⚠期間外",IF(COUNTIF(設定!$B$15:$B$29,B975)=0,"⚠項目不明",""))))</f>
        <v/>
      </c>
    </row>
    <row r="976" customFormat="false" ht="15" hidden="false" customHeight="false" outlineLevel="0" collapsed="false">
      <c r="A976" s="30"/>
      <c r="B976" s="31"/>
      <c r="C976" s="32"/>
      <c r="D976" s="31"/>
      <c r="E976" s="33" t="str">
        <f aca="false">IF(COUNTA(A976:D976)=0,"",IF(COUNTA(A976:C976)&lt;3,"⚠未入力",IF(OR(A976&lt;設定!$C$8,A976&gt;設定!$C$9),"⚠期間外",IF(COUNTIF(設定!$B$15:$B$29,B976)=0,"⚠項目不明",""))))</f>
        <v/>
      </c>
    </row>
    <row r="977" customFormat="false" ht="15" hidden="false" customHeight="false" outlineLevel="0" collapsed="false">
      <c r="A977" s="30"/>
      <c r="B977" s="31"/>
      <c r="C977" s="32"/>
      <c r="D977" s="31"/>
      <c r="E977" s="33" t="str">
        <f aca="false">IF(COUNTA(A977:D977)=0,"",IF(COUNTA(A977:C977)&lt;3,"⚠未入力",IF(OR(A977&lt;設定!$C$8,A977&gt;設定!$C$9),"⚠期間外",IF(COUNTIF(設定!$B$15:$B$29,B977)=0,"⚠項目不明",""))))</f>
        <v/>
      </c>
    </row>
    <row r="978" customFormat="false" ht="15" hidden="false" customHeight="false" outlineLevel="0" collapsed="false">
      <c r="A978" s="30"/>
      <c r="B978" s="31"/>
      <c r="C978" s="32"/>
      <c r="D978" s="31"/>
      <c r="E978" s="33" t="str">
        <f aca="false">IF(COUNTA(A978:D978)=0,"",IF(COUNTA(A978:C978)&lt;3,"⚠未入力",IF(OR(A978&lt;設定!$C$8,A978&gt;設定!$C$9),"⚠期間外",IF(COUNTIF(設定!$B$15:$B$29,B978)=0,"⚠項目不明",""))))</f>
        <v/>
      </c>
    </row>
    <row r="979" customFormat="false" ht="15" hidden="false" customHeight="false" outlineLevel="0" collapsed="false">
      <c r="A979" s="30"/>
      <c r="B979" s="31"/>
      <c r="C979" s="32"/>
      <c r="D979" s="31"/>
      <c r="E979" s="33" t="str">
        <f aca="false">IF(COUNTA(A979:D979)=0,"",IF(COUNTA(A979:C979)&lt;3,"⚠未入力",IF(OR(A979&lt;設定!$C$8,A979&gt;設定!$C$9),"⚠期間外",IF(COUNTIF(設定!$B$15:$B$29,B979)=0,"⚠項目不明",""))))</f>
        <v/>
      </c>
    </row>
    <row r="980" customFormat="false" ht="15" hidden="false" customHeight="false" outlineLevel="0" collapsed="false">
      <c r="A980" s="30"/>
      <c r="B980" s="31"/>
      <c r="C980" s="32"/>
      <c r="D980" s="31"/>
      <c r="E980" s="33" t="str">
        <f aca="false">IF(COUNTA(A980:D980)=0,"",IF(COUNTA(A980:C980)&lt;3,"⚠未入力",IF(OR(A980&lt;設定!$C$8,A980&gt;設定!$C$9),"⚠期間外",IF(COUNTIF(設定!$B$15:$B$29,B980)=0,"⚠項目不明",""))))</f>
        <v/>
      </c>
    </row>
    <row r="981" customFormat="false" ht="15" hidden="false" customHeight="false" outlineLevel="0" collapsed="false">
      <c r="A981" s="30"/>
      <c r="B981" s="31"/>
      <c r="C981" s="32"/>
      <c r="D981" s="31"/>
      <c r="E981" s="33" t="str">
        <f aca="false">IF(COUNTA(A981:D981)=0,"",IF(COUNTA(A981:C981)&lt;3,"⚠未入力",IF(OR(A981&lt;設定!$C$8,A981&gt;設定!$C$9),"⚠期間外",IF(COUNTIF(設定!$B$15:$B$29,B981)=0,"⚠項目不明",""))))</f>
        <v/>
      </c>
    </row>
    <row r="982" customFormat="false" ht="15" hidden="false" customHeight="false" outlineLevel="0" collapsed="false">
      <c r="A982" s="30"/>
      <c r="B982" s="31"/>
      <c r="C982" s="32"/>
      <c r="D982" s="31"/>
      <c r="E982" s="33" t="str">
        <f aca="false">IF(COUNTA(A982:D982)=0,"",IF(COUNTA(A982:C982)&lt;3,"⚠未入力",IF(OR(A982&lt;設定!$C$8,A982&gt;設定!$C$9),"⚠期間外",IF(COUNTIF(設定!$B$15:$B$29,B982)=0,"⚠項目不明",""))))</f>
        <v/>
      </c>
    </row>
    <row r="983" customFormat="false" ht="15" hidden="false" customHeight="false" outlineLevel="0" collapsed="false">
      <c r="A983" s="30"/>
      <c r="B983" s="31"/>
      <c r="C983" s="32"/>
      <c r="D983" s="31"/>
      <c r="E983" s="33" t="str">
        <f aca="false">IF(COUNTA(A983:D983)=0,"",IF(COUNTA(A983:C983)&lt;3,"⚠未入力",IF(OR(A983&lt;設定!$C$8,A983&gt;設定!$C$9),"⚠期間外",IF(COUNTIF(設定!$B$15:$B$29,B983)=0,"⚠項目不明",""))))</f>
        <v/>
      </c>
    </row>
    <row r="984" customFormat="false" ht="15" hidden="false" customHeight="false" outlineLevel="0" collapsed="false">
      <c r="A984" s="30"/>
      <c r="B984" s="31"/>
      <c r="C984" s="32"/>
      <c r="D984" s="31"/>
      <c r="E984" s="33" t="str">
        <f aca="false">IF(COUNTA(A984:D984)=0,"",IF(COUNTA(A984:C984)&lt;3,"⚠未入力",IF(OR(A984&lt;設定!$C$8,A984&gt;設定!$C$9),"⚠期間外",IF(COUNTIF(設定!$B$15:$B$29,B984)=0,"⚠項目不明",""))))</f>
        <v/>
      </c>
    </row>
    <row r="985" customFormat="false" ht="15" hidden="false" customHeight="false" outlineLevel="0" collapsed="false">
      <c r="A985" s="30"/>
      <c r="B985" s="31"/>
      <c r="C985" s="32"/>
      <c r="D985" s="31"/>
      <c r="E985" s="33" t="str">
        <f aca="false">IF(COUNTA(A985:D985)=0,"",IF(COUNTA(A985:C985)&lt;3,"⚠未入力",IF(OR(A985&lt;設定!$C$8,A985&gt;設定!$C$9),"⚠期間外",IF(COUNTIF(設定!$B$15:$B$29,B985)=0,"⚠項目不明",""))))</f>
        <v/>
      </c>
    </row>
    <row r="986" customFormat="false" ht="15" hidden="false" customHeight="false" outlineLevel="0" collapsed="false">
      <c r="A986" s="30"/>
      <c r="B986" s="31"/>
      <c r="C986" s="32"/>
      <c r="D986" s="31"/>
      <c r="E986" s="33" t="str">
        <f aca="false">IF(COUNTA(A986:D986)=0,"",IF(COUNTA(A986:C986)&lt;3,"⚠未入力",IF(OR(A986&lt;設定!$C$8,A986&gt;設定!$C$9),"⚠期間外",IF(COUNTIF(設定!$B$15:$B$29,B986)=0,"⚠項目不明",""))))</f>
        <v/>
      </c>
    </row>
    <row r="987" customFormat="false" ht="15" hidden="false" customHeight="false" outlineLevel="0" collapsed="false">
      <c r="A987" s="30"/>
      <c r="B987" s="31"/>
      <c r="C987" s="32"/>
      <c r="D987" s="31"/>
      <c r="E987" s="33" t="str">
        <f aca="false">IF(COUNTA(A987:D987)=0,"",IF(COUNTA(A987:C987)&lt;3,"⚠未入力",IF(OR(A987&lt;設定!$C$8,A987&gt;設定!$C$9),"⚠期間外",IF(COUNTIF(設定!$B$15:$B$29,B987)=0,"⚠項目不明",""))))</f>
        <v/>
      </c>
    </row>
    <row r="988" customFormat="false" ht="15" hidden="false" customHeight="false" outlineLevel="0" collapsed="false">
      <c r="A988" s="30"/>
      <c r="B988" s="31"/>
      <c r="C988" s="32"/>
      <c r="D988" s="31"/>
      <c r="E988" s="33" t="str">
        <f aca="false">IF(COUNTA(A988:D988)=0,"",IF(COUNTA(A988:C988)&lt;3,"⚠未入力",IF(OR(A988&lt;設定!$C$8,A988&gt;設定!$C$9),"⚠期間外",IF(COUNTIF(設定!$B$15:$B$29,B988)=0,"⚠項目不明",""))))</f>
        <v/>
      </c>
    </row>
    <row r="989" customFormat="false" ht="15" hidden="false" customHeight="false" outlineLevel="0" collapsed="false">
      <c r="A989" s="30"/>
      <c r="B989" s="31"/>
      <c r="C989" s="32"/>
      <c r="D989" s="31"/>
      <c r="E989" s="33" t="str">
        <f aca="false">IF(COUNTA(A989:D989)=0,"",IF(COUNTA(A989:C989)&lt;3,"⚠未入力",IF(OR(A989&lt;設定!$C$8,A989&gt;設定!$C$9),"⚠期間外",IF(COUNTIF(設定!$B$15:$B$29,B989)=0,"⚠項目不明",""))))</f>
        <v/>
      </c>
    </row>
    <row r="990" customFormat="false" ht="15" hidden="false" customHeight="false" outlineLevel="0" collapsed="false">
      <c r="A990" s="30"/>
      <c r="B990" s="31"/>
      <c r="C990" s="32"/>
      <c r="D990" s="31"/>
      <c r="E990" s="33" t="str">
        <f aca="false">IF(COUNTA(A990:D990)=0,"",IF(COUNTA(A990:C990)&lt;3,"⚠未入力",IF(OR(A990&lt;設定!$C$8,A990&gt;設定!$C$9),"⚠期間外",IF(COUNTIF(設定!$B$15:$B$29,B990)=0,"⚠項目不明",""))))</f>
        <v/>
      </c>
    </row>
    <row r="991" customFormat="false" ht="15" hidden="false" customHeight="false" outlineLevel="0" collapsed="false">
      <c r="A991" s="30"/>
      <c r="B991" s="31"/>
      <c r="C991" s="32"/>
      <c r="D991" s="31"/>
      <c r="E991" s="33" t="str">
        <f aca="false">IF(COUNTA(A991:D991)=0,"",IF(COUNTA(A991:C991)&lt;3,"⚠未入力",IF(OR(A991&lt;設定!$C$8,A991&gt;設定!$C$9),"⚠期間外",IF(COUNTIF(設定!$B$15:$B$29,B991)=0,"⚠項目不明",""))))</f>
        <v/>
      </c>
    </row>
    <row r="992" customFormat="false" ht="15" hidden="false" customHeight="false" outlineLevel="0" collapsed="false">
      <c r="A992" s="30"/>
      <c r="B992" s="31"/>
      <c r="C992" s="32"/>
      <c r="D992" s="31"/>
      <c r="E992" s="33" t="str">
        <f aca="false">IF(COUNTA(A992:D992)=0,"",IF(COUNTA(A992:C992)&lt;3,"⚠未入力",IF(OR(A992&lt;設定!$C$8,A992&gt;設定!$C$9),"⚠期間外",IF(COUNTIF(設定!$B$15:$B$29,B992)=0,"⚠項目不明",""))))</f>
        <v/>
      </c>
    </row>
    <row r="993" customFormat="false" ht="15" hidden="false" customHeight="false" outlineLevel="0" collapsed="false">
      <c r="A993" s="30"/>
      <c r="B993" s="31"/>
      <c r="C993" s="32"/>
      <c r="D993" s="31"/>
      <c r="E993" s="33" t="str">
        <f aca="false">IF(COUNTA(A993:D993)=0,"",IF(COUNTA(A993:C993)&lt;3,"⚠未入力",IF(OR(A993&lt;設定!$C$8,A993&gt;設定!$C$9),"⚠期間外",IF(COUNTIF(設定!$B$15:$B$29,B993)=0,"⚠項目不明",""))))</f>
        <v/>
      </c>
    </row>
    <row r="994" customFormat="false" ht="15" hidden="false" customHeight="false" outlineLevel="0" collapsed="false">
      <c r="A994" s="30"/>
      <c r="B994" s="31"/>
      <c r="C994" s="32"/>
      <c r="D994" s="31"/>
      <c r="E994" s="33" t="str">
        <f aca="false">IF(COUNTA(A994:D994)=0,"",IF(COUNTA(A994:C994)&lt;3,"⚠未入力",IF(OR(A994&lt;設定!$C$8,A994&gt;設定!$C$9),"⚠期間外",IF(COUNTIF(設定!$B$15:$B$29,B994)=0,"⚠項目不明",""))))</f>
        <v/>
      </c>
    </row>
    <row r="995" customFormat="false" ht="15" hidden="false" customHeight="false" outlineLevel="0" collapsed="false">
      <c r="A995" s="30"/>
      <c r="B995" s="31"/>
      <c r="C995" s="32"/>
      <c r="D995" s="31"/>
      <c r="E995" s="33" t="str">
        <f aca="false">IF(COUNTA(A995:D995)=0,"",IF(COUNTA(A995:C995)&lt;3,"⚠未入力",IF(OR(A995&lt;設定!$C$8,A995&gt;設定!$C$9),"⚠期間外",IF(COUNTIF(設定!$B$15:$B$29,B995)=0,"⚠項目不明",""))))</f>
        <v/>
      </c>
    </row>
    <row r="996" customFormat="false" ht="15" hidden="false" customHeight="false" outlineLevel="0" collapsed="false">
      <c r="A996" s="30"/>
      <c r="B996" s="31"/>
      <c r="C996" s="32"/>
      <c r="D996" s="31"/>
      <c r="E996" s="33" t="str">
        <f aca="false">IF(COUNTA(A996:D996)=0,"",IF(COUNTA(A996:C996)&lt;3,"⚠未入力",IF(OR(A996&lt;設定!$C$8,A996&gt;設定!$C$9),"⚠期間外",IF(COUNTIF(設定!$B$15:$B$29,B996)=0,"⚠項目不明",""))))</f>
        <v/>
      </c>
    </row>
    <row r="997" customFormat="false" ht="15" hidden="false" customHeight="false" outlineLevel="0" collapsed="false">
      <c r="A997" s="30"/>
      <c r="B997" s="31"/>
      <c r="C997" s="32"/>
      <c r="D997" s="31"/>
      <c r="E997" s="33" t="str">
        <f aca="false">IF(COUNTA(A997:D997)=0,"",IF(COUNTA(A997:C997)&lt;3,"⚠未入力",IF(OR(A997&lt;設定!$C$8,A997&gt;設定!$C$9),"⚠期間外",IF(COUNTIF(設定!$B$15:$B$29,B997)=0,"⚠項目不明",""))))</f>
        <v/>
      </c>
    </row>
    <row r="998" customFormat="false" ht="15" hidden="false" customHeight="false" outlineLevel="0" collapsed="false">
      <c r="A998" s="30"/>
      <c r="B998" s="31"/>
      <c r="C998" s="32"/>
      <c r="D998" s="31"/>
      <c r="E998" s="33" t="str">
        <f aca="false">IF(COUNTA(A998:D998)=0,"",IF(COUNTA(A998:C998)&lt;3,"⚠未入力",IF(OR(A998&lt;設定!$C$8,A998&gt;設定!$C$9),"⚠期間外",IF(COUNTIF(設定!$B$15:$B$29,B998)=0,"⚠項目不明",""))))</f>
        <v/>
      </c>
    </row>
    <row r="999" customFormat="false" ht="15" hidden="false" customHeight="false" outlineLevel="0" collapsed="false">
      <c r="A999" s="30"/>
      <c r="B999" s="31"/>
      <c r="C999" s="32"/>
      <c r="D999" s="31"/>
      <c r="E999" s="33" t="str">
        <f aca="false">IF(COUNTA(A999:D999)=0,"",IF(COUNTA(A999:C999)&lt;3,"⚠未入力",IF(OR(A999&lt;設定!$C$8,A999&gt;設定!$C$9),"⚠期間外",IF(COUNTIF(設定!$B$15:$B$29,B999)=0,"⚠項目不明",""))))</f>
        <v/>
      </c>
    </row>
    <row r="1000" customFormat="false" ht="15" hidden="false" customHeight="false" outlineLevel="0" collapsed="false">
      <c r="A1000" s="30"/>
      <c r="B1000" s="31"/>
      <c r="C1000" s="32"/>
      <c r="D1000" s="31"/>
      <c r="E1000" s="33" t="str">
        <f aca="false">IF(COUNTA(A1000:D1000)=0,"",IF(COUNTA(A1000:C1000)&lt;3,"⚠未入力",IF(OR(A1000&lt;設定!$C$8,A1000&gt;設定!$C$9),"⚠期間外",IF(COUNTIF(設定!$B$15:$B$29,B1000)=0,"⚠項目不明",""))))</f>
        <v/>
      </c>
    </row>
    <row r="1001" customFormat="false" ht="15" hidden="false" customHeight="false" outlineLevel="0" collapsed="false">
      <c r="A1001" s="30"/>
      <c r="B1001" s="31"/>
      <c r="C1001" s="32"/>
      <c r="D1001" s="31"/>
      <c r="E1001" s="33" t="str">
        <f aca="false">IF(COUNTA(A1001:D1001)=0,"",IF(COUNTA(A1001:C1001)&lt;3,"⚠未入力",IF(OR(A1001&lt;設定!$C$8,A1001&gt;設定!$C$9),"⚠期間外",IF(COUNTIF(設定!$B$15:$B$29,B1001)=0,"⚠項目不明",""))))</f>
        <v/>
      </c>
    </row>
    <row r="1002" customFormat="false" ht="15" hidden="false" customHeight="false" outlineLevel="0" collapsed="false">
      <c r="A1002" s="30"/>
      <c r="B1002" s="31"/>
      <c r="C1002" s="32"/>
      <c r="D1002" s="31"/>
      <c r="E1002" s="33" t="str">
        <f aca="false">IF(COUNTA(A1002:D1002)=0,"",IF(COUNTA(A1002:C1002)&lt;3,"⚠未入力",IF(OR(A1002&lt;設定!$C$8,A1002&gt;設定!$C$9),"⚠期間外",IF(COUNTIF(設定!$B$15:$B$29,B1002)=0,"⚠項目不明",""))))</f>
        <v/>
      </c>
    </row>
    <row r="1003" customFormat="false" ht="15" hidden="false" customHeight="false" outlineLevel="0" collapsed="false">
      <c r="A1003" s="30"/>
      <c r="B1003" s="31"/>
      <c r="C1003" s="32"/>
      <c r="D1003" s="31"/>
      <c r="E1003" s="33" t="str">
        <f aca="false">IF(COUNTA(A1003:D1003)=0,"",IF(COUNTA(A1003:C1003)&lt;3,"⚠未入力",IF(OR(A1003&lt;設定!$C$8,A1003&gt;設定!$C$9),"⚠期間外",IF(COUNTIF(設定!$B$15:$B$29,B1003)=0,"⚠項目不明",""))))</f>
        <v/>
      </c>
    </row>
    <row r="1004" customFormat="false" ht="15" hidden="false" customHeight="false" outlineLevel="0" collapsed="false">
      <c r="A1004" s="30"/>
      <c r="B1004" s="31"/>
      <c r="C1004" s="32"/>
      <c r="D1004" s="31"/>
      <c r="E1004" s="33" t="str">
        <f aca="false">IF(COUNTA(A1004:D1004)=0,"",IF(COUNTA(A1004:C1004)&lt;3,"⚠未入力",IF(OR(A1004&lt;設定!$C$8,A1004&gt;設定!$C$9),"⚠期間外",IF(COUNTIF(設定!$B$15:$B$29,B1004)=0,"⚠項目不明",""))))</f>
        <v/>
      </c>
    </row>
  </sheetData>
  <mergeCells count="2">
    <mergeCell ref="A1:E1"/>
    <mergeCell ref="A2:E2"/>
  </mergeCells>
  <dataValidations count="3">
    <dataValidation allowBlank="true" error="日付で入力してください（例：2026/8/12）。" errorStyle="stop" errorTitle="日付" operator="greaterThan" showDropDown="false" showErrorMessage="true" showInputMessage="false" sqref="A5:A1004" type="date">
      <formula1>36526</formula1>
      <formula2>0</formula2>
    </dataValidation>
    <dataValidation allowBlank="true" error="リストから選んでください。項目は「設定」シートで変更できます。" errorStyle="stop" errorTitle="項目" operator="between" showDropDown="false" showErrorMessage="true" showInputMessage="false" sqref="B5:B1004" type="list">
      <formula1>設定!$B$15:$B$29</formula1>
      <formula2>0</formula2>
    </dataValidation>
    <dataValidation allowBlank="true" error="数字で入力してください（返金はマイナスで入力できます）。" errorStyle="stop" errorTitle="金額" operator="between" showDropDown="false" showErrorMessage="true" showInputMessage="false" sqref="C5:C1004" type="decimal">
      <formula1>-999999999</formula1>
      <formula2>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34"/>
  </cols>
  <sheetData>
    <row r="2" customFormat="false" ht="33.75" hidden="false" customHeight="true" outlineLevel="0" collapsed="false">
      <c r="B2" s="25" t="s">
        <v>87</v>
      </c>
      <c r="C2" s="25"/>
      <c r="D2" s="25"/>
      <c r="E2" s="25"/>
      <c r="F2" s="25"/>
    </row>
    <row r="3" customFormat="false" ht="30" hidden="false" customHeight="true" outlineLevel="0" collapsed="false">
      <c r="B3" s="24" t="s">
        <v>88</v>
      </c>
      <c r="C3" s="24"/>
      <c r="D3" s="24"/>
      <c r="E3" s="24"/>
      <c r="F3" s="24"/>
    </row>
    <row r="5" customFormat="false" ht="15" hidden="false" customHeight="true" outlineLevel="0" collapsed="false">
      <c r="B5" s="34" t="s">
        <v>89</v>
      </c>
      <c r="C5" s="35" t="n">
        <v>2026</v>
      </c>
      <c r="D5" s="24" t="s">
        <v>90</v>
      </c>
      <c r="E5" s="24"/>
      <c r="F5" s="24"/>
    </row>
    <row r="6" customFormat="false" ht="15" hidden="false" customHeight="true" outlineLevel="0" collapsed="false">
      <c r="B6" s="34" t="s">
        <v>91</v>
      </c>
      <c r="C6" s="35" t="n">
        <v>1</v>
      </c>
      <c r="D6" s="36" t="s">
        <v>92</v>
      </c>
      <c r="E6" s="36"/>
      <c r="F6" s="36"/>
    </row>
    <row r="7" customFormat="false" ht="15" hidden="false" customHeight="true" outlineLevel="0" collapsed="false">
      <c r="B7" s="34" t="s">
        <v>93</v>
      </c>
      <c r="C7" s="37"/>
      <c r="D7" s="24" t="s">
        <v>94</v>
      </c>
      <c r="E7" s="24"/>
      <c r="F7" s="24"/>
    </row>
    <row r="8" customFormat="false" ht="15" hidden="false" customHeight="true" outlineLevel="0" collapsed="false">
      <c r="B8" s="38" t="s">
        <v>95</v>
      </c>
      <c r="C8" s="39" t="n">
        <f aca="false">DATE(C5,C6,1)</f>
        <v>46023</v>
      </c>
      <c r="D8" s="24" t="s">
        <v>96</v>
      </c>
      <c r="E8" s="24"/>
      <c r="F8" s="24"/>
    </row>
    <row r="9" customFormat="false" ht="15" hidden="false" customHeight="true" outlineLevel="0" collapsed="false">
      <c r="B9" s="38" t="s">
        <v>97</v>
      </c>
      <c r="C9" s="39" t="n">
        <f aca="false">DATE(C5,C6+12,1)-1</f>
        <v>46387</v>
      </c>
      <c r="D9" s="24" t="s">
        <v>96</v>
      </c>
      <c r="E9" s="24"/>
      <c r="F9" s="24"/>
    </row>
    <row r="10" customFormat="false" ht="15" hidden="false" customHeight="true" outlineLevel="0" collapsed="false">
      <c r="B10" s="38" t="s">
        <v>98</v>
      </c>
      <c r="C10" s="39" t="n">
        <f aca="true">IF(C7="",TODAY(),C7)</f>
        <v>46294</v>
      </c>
      <c r="D10" s="24" t="s">
        <v>96</v>
      </c>
      <c r="E10" s="24"/>
      <c r="F10" s="24"/>
    </row>
    <row r="11" customFormat="false" ht="15" hidden="false" customHeight="true" outlineLevel="0" collapsed="false">
      <c r="B11" s="38" t="s">
        <v>99</v>
      </c>
      <c r="C11" s="40" t="n">
        <f aca="false">MIN(12,MAX(0,(YEAR(C10)-C5)*12+MONTH(C10)-C6+1))</f>
        <v>9</v>
      </c>
      <c r="D11" s="24" t="s">
        <v>96</v>
      </c>
      <c r="E11" s="24"/>
      <c r="F11" s="24"/>
    </row>
    <row r="13" customFormat="false" ht="17.15" hidden="false" customHeight="true" outlineLevel="0" collapsed="false">
      <c r="B13" s="41" t="s">
        <v>100</v>
      </c>
      <c r="C13" s="41"/>
      <c r="D13" s="41"/>
      <c r="E13" s="41"/>
      <c r="F13" s="41"/>
    </row>
    <row r="14" customFormat="false" ht="31.5" hidden="false" customHeight="true" outlineLevel="0" collapsed="false"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82</v>
      </c>
    </row>
    <row r="15" customFormat="false" ht="15" hidden="false" customHeight="false" outlineLevel="0" collapsed="false">
      <c r="B15" s="42" t="s">
        <v>84</v>
      </c>
      <c r="C15" s="32" t="n">
        <v>80000</v>
      </c>
      <c r="D15" s="43" t="n">
        <v>8</v>
      </c>
      <c r="E15" s="32" t="n">
        <v>0</v>
      </c>
      <c r="F15" s="44" t="s">
        <v>105</v>
      </c>
    </row>
    <row r="16" customFormat="false" ht="15" hidden="false" customHeight="false" outlineLevel="0" collapsed="false">
      <c r="B16" s="42" t="s">
        <v>106</v>
      </c>
      <c r="C16" s="32" t="n">
        <v>60000</v>
      </c>
      <c r="D16" s="43" t="n">
        <v>6</v>
      </c>
      <c r="E16" s="32" t="n">
        <v>0</v>
      </c>
      <c r="F16" s="44"/>
    </row>
    <row r="17" customFormat="false" ht="15" hidden="false" customHeight="false" outlineLevel="0" collapsed="false">
      <c r="B17" s="42" t="s">
        <v>107</v>
      </c>
      <c r="C17" s="32" t="n">
        <v>30000</v>
      </c>
      <c r="D17" s="43" t="n">
        <v>3</v>
      </c>
      <c r="E17" s="32" t="n">
        <v>0</v>
      </c>
      <c r="F17" s="44" t="s">
        <v>108</v>
      </c>
    </row>
    <row r="18" customFormat="false" ht="15" hidden="false" customHeight="false" outlineLevel="0" collapsed="false">
      <c r="B18" s="42" t="s">
        <v>109</v>
      </c>
      <c r="C18" s="32" t="n">
        <v>40000</v>
      </c>
      <c r="D18" s="43" t="n">
        <v>12</v>
      </c>
      <c r="E18" s="32" t="n">
        <v>0</v>
      </c>
      <c r="F18" s="44"/>
    </row>
    <row r="19" customFormat="false" ht="15" hidden="false" customHeight="false" outlineLevel="0" collapsed="false">
      <c r="B19" s="42" t="s">
        <v>110</v>
      </c>
      <c r="C19" s="32" t="n">
        <v>20000</v>
      </c>
      <c r="D19" s="43" t="n">
        <v>7</v>
      </c>
      <c r="E19" s="32" t="n">
        <v>0</v>
      </c>
      <c r="F19" s="44"/>
    </row>
    <row r="20" customFormat="false" ht="15" hidden="false" customHeight="false" outlineLevel="0" collapsed="false">
      <c r="B20" s="42" t="s">
        <v>111</v>
      </c>
      <c r="C20" s="32" t="n">
        <v>60000</v>
      </c>
      <c r="D20" s="43"/>
      <c r="E20" s="32" t="n">
        <v>0</v>
      </c>
      <c r="F20" s="44"/>
    </row>
    <row r="21" customFormat="false" ht="15" hidden="false" customHeight="false" outlineLevel="0" collapsed="false">
      <c r="B21" s="42" t="s">
        <v>112</v>
      </c>
      <c r="C21" s="32" t="n">
        <v>50000</v>
      </c>
      <c r="D21" s="43" t="n">
        <v>10</v>
      </c>
      <c r="E21" s="32" t="n">
        <v>0</v>
      </c>
      <c r="F21" s="44" t="s">
        <v>113</v>
      </c>
    </row>
    <row r="22" customFormat="false" ht="15" hidden="false" customHeight="false" outlineLevel="0" collapsed="false">
      <c r="B22" s="42" t="s">
        <v>114</v>
      </c>
      <c r="C22" s="32" t="n">
        <v>40000</v>
      </c>
      <c r="D22" s="43" t="n">
        <v>11</v>
      </c>
      <c r="E22" s="32" t="n">
        <v>0</v>
      </c>
      <c r="F22" s="44"/>
    </row>
    <row r="23" customFormat="false" ht="15" hidden="false" customHeight="false" outlineLevel="0" collapsed="false">
      <c r="B23" s="42" t="s">
        <v>115</v>
      </c>
      <c r="C23" s="32" t="n">
        <v>30000</v>
      </c>
      <c r="D23" s="43" t="n">
        <v>4</v>
      </c>
      <c r="E23" s="32" t="n">
        <v>0</v>
      </c>
      <c r="F23" s="44"/>
    </row>
    <row r="24" customFormat="false" ht="15" hidden="false" customHeight="false" outlineLevel="0" collapsed="false">
      <c r="B24" s="42" t="s">
        <v>116</v>
      </c>
      <c r="C24" s="32" t="n">
        <v>30000</v>
      </c>
      <c r="D24" s="43" t="n">
        <v>9</v>
      </c>
      <c r="E24" s="32" t="n">
        <v>0</v>
      </c>
      <c r="F24" s="44"/>
    </row>
    <row r="25" customFormat="false" ht="15" hidden="false" customHeight="false" outlineLevel="0" collapsed="false">
      <c r="B25" s="42" t="s">
        <v>117</v>
      </c>
      <c r="C25" s="32" t="n">
        <v>20000</v>
      </c>
      <c r="D25" s="43"/>
      <c r="E25" s="32" t="n">
        <v>0</v>
      </c>
      <c r="F25" s="44" t="s">
        <v>118</v>
      </c>
    </row>
    <row r="26" customFormat="false" ht="15" hidden="false" customHeight="false" outlineLevel="0" collapsed="false">
      <c r="B26" s="42"/>
      <c r="C26" s="32"/>
      <c r="D26" s="43"/>
      <c r="E26" s="32"/>
      <c r="F26" s="44"/>
    </row>
    <row r="27" customFormat="false" ht="15" hidden="false" customHeight="false" outlineLevel="0" collapsed="false">
      <c r="B27" s="42"/>
      <c r="C27" s="32"/>
      <c r="D27" s="43"/>
      <c r="E27" s="32"/>
      <c r="F27" s="44"/>
    </row>
    <row r="28" customFormat="false" ht="15" hidden="false" customHeight="false" outlineLevel="0" collapsed="false">
      <c r="B28" s="42"/>
      <c r="C28" s="32"/>
      <c r="D28" s="43"/>
      <c r="E28" s="32"/>
      <c r="F28" s="44"/>
    </row>
    <row r="29" customFormat="false" ht="15" hidden="false" customHeight="false" outlineLevel="0" collapsed="false">
      <c r="B29" s="42"/>
      <c r="C29" s="32"/>
      <c r="D29" s="43"/>
      <c r="E29" s="32"/>
      <c r="F29" s="44"/>
    </row>
    <row r="31" customFormat="false" ht="25.5" hidden="false" customHeight="true" outlineLevel="0" collapsed="false">
      <c r="B31" s="24" t="s">
        <v>119</v>
      </c>
      <c r="C31" s="24"/>
      <c r="D31" s="24"/>
      <c r="E31" s="24"/>
      <c r="F31" s="24"/>
    </row>
  </sheetData>
  <sheetProtection sheet="true"/>
  <mergeCells count="11">
    <mergeCell ref="B2:F2"/>
    <mergeCell ref="B3:F3"/>
    <mergeCell ref="D5:F5"/>
    <mergeCell ref="D6:F6"/>
    <mergeCell ref="D7:F7"/>
    <mergeCell ref="D8:F8"/>
    <mergeCell ref="D9:F9"/>
    <mergeCell ref="D10:F10"/>
    <mergeCell ref="D11:F11"/>
    <mergeCell ref="B13:F13"/>
    <mergeCell ref="B31:F31"/>
  </mergeCells>
  <dataValidations count="5">
    <dataValidation allowBlank="false" error="2000〜2100の数字で入力してください。" errorStyle="stop" errorTitle="開始年" operator="between" showDropDown="false" showErrorMessage="true" showInputMessage="false" sqref="C5" type="whole">
      <formula1>2000</formula1>
      <formula2>2100</formula2>
    </dataValidation>
    <dataValidation allowBlank="false" error="1〜12の数字で入力してください。" errorStyle="stop" errorTitle="開始月" operator="between" showDropDown="false" showErrorMessage="true" showInputMessage="false" sqref="C6" type="whole">
      <formula1>1</formula1>
      <formula2>12</formula2>
    </dataValidation>
    <dataValidation allowBlank="true" error="日付で入力してください（例：2026/9/29）。" errorStyle="stop" errorTitle="基準日" operator="greaterThan" showDropDown="false" showErrorMessage="true" showInputMessage="false" sqref="C7" type="date">
      <formula1>36526</formula1>
      <formula2>0</formula2>
    </dataValidation>
    <dataValidation allowBlank="true" error="0以上の整数で入力してください。" errorStyle="stop" errorTitle="金額" operator="greaterThanOrEqual" showDropDown="false" showErrorMessage="true" showInputMessage="false" sqref="C15:C29 E15:E29" type="whole">
      <formula1>0</formula1>
      <formula2>0</formula2>
    </dataValidation>
    <dataValidation allowBlank="true" error="1〜12の月を選んでください。" errorStyle="stop" errorTitle="支払予定月" operator="between" showDropDown="false" showErrorMessage="true" showInputMessage="false" sqref="D15:D29" type="list">
      <formula1>"1,2,3,4,5,6,7,8,9,10,11,12"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O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14" min="3" style="0" width="10.51"/>
    <col collapsed="false" customWidth="true" hidden="false" outlineLevel="0" max="15" min="15" style="0" width="13"/>
  </cols>
  <sheetData>
    <row r="1" customFormat="false" ht="33.75" hidden="false" customHeight="true" outlineLevel="0" collapsed="false">
      <c r="B1" s="25" t="s">
        <v>120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customFormat="false" ht="15" hidden="false" customHeight="true" outlineLevel="0" collapsed="false">
      <c r="B2" s="24" t="s">
        <v>121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4" customFormat="false" ht="17.15" hidden="false" customHeight="true" outlineLevel="0" collapsed="false">
      <c r="B4" s="41" t="s">
        <v>122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customFormat="false" ht="15" hidden="false" customHeight="false" outlineLevel="0" collapsed="false">
      <c r="B5" s="15" t="s">
        <v>69</v>
      </c>
      <c r="C5" s="45" t="n">
        <f aca="false">DATE(設定!$C$5,設定!$C$6,1)</f>
        <v>46023</v>
      </c>
      <c r="D5" s="45" t="n">
        <f aca="false">DATE(YEAR(C5),MONTH(C5)+1,1)</f>
        <v>46054</v>
      </c>
      <c r="E5" s="45" t="n">
        <f aca="false">DATE(YEAR(D5),MONTH(D5)+1,1)</f>
        <v>46082</v>
      </c>
      <c r="F5" s="45" t="n">
        <f aca="false">DATE(YEAR(E5),MONTH(E5)+1,1)</f>
        <v>46113</v>
      </c>
      <c r="G5" s="45" t="n">
        <f aca="false">DATE(YEAR(F5),MONTH(F5)+1,1)</f>
        <v>46143</v>
      </c>
      <c r="H5" s="45" t="n">
        <f aca="false">DATE(YEAR(G5),MONTH(G5)+1,1)</f>
        <v>46174</v>
      </c>
      <c r="I5" s="45" t="n">
        <f aca="false">DATE(YEAR(H5),MONTH(H5)+1,1)</f>
        <v>46204</v>
      </c>
      <c r="J5" s="45" t="n">
        <f aca="false">DATE(YEAR(I5),MONTH(I5)+1,1)</f>
        <v>46235</v>
      </c>
      <c r="K5" s="45" t="n">
        <f aca="false">DATE(YEAR(J5),MONTH(J5)+1,1)</f>
        <v>46266</v>
      </c>
      <c r="L5" s="45" t="n">
        <f aca="false">DATE(YEAR(K5),MONTH(K5)+1,1)</f>
        <v>46296</v>
      </c>
      <c r="M5" s="45" t="n">
        <f aca="false">DATE(YEAR(L5),MONTH(L5)+1,1)</f>
        <v>46327</v>
      </c>
      <c r="N5" s="45" t="n">
        <f aca="false">DATE(YEAR(M5),MONTH(M5)+1,1)</f>
        <v>46357</v>
      </c>
      <c r="O5" s="15" t="s">
        <v>76</v>
      </c>
    </row>
    <row r="6" customFormat="false" ht="15" hidden="false" customHeight="false" outlineLevel="0" collapsed="false">
      <c r="B6" s="5" t="str">
        <f aca="false">IF(設定!B15="","",設定!B15)</f>
        <v>帰省・旅行</v>
      </c>
      <c r="C6" s="46" t="n">
        <f aca="false">IF($B6="","",SUMIFS(入力!$C$5:$C$1004,入力!$B$5:$B$1004,$B6,入力!$A$5:$A$1004,"&gt;="&amp;C$5,入力!$A$5:$A$1004,"&lt;"&amp;DATE(YEAR(C$5),MONTH(C$5)+1,1)))</f>
        <v>0</v>
      </c>
      <c r="D6" s="46" t="n">
        <f aca="false">IF($B6="","",SUMIFS(入力!$C$5:$C$1004,入力!$B$5:$B$1004,$B6,入力!$A$5:$A$1004,"&gt;="&amp;D$5,入力!$A$5:$A$1004,"&lt;"&amp;DATE(YEAR(D$5),MONTH(D$5)+1,1)))</f>
        <v>0</v>
      </c>
      <c r="E6" s="46" t="n">
        <f aca="false">IF($B6="","",SUMIFS(入力!$C$5:$C$1004,入力!$B$5:$B$1004,$B6,入力!$A$5:$A$1004,"&gt;="&amp;E$5,入力!$A$5:$A$1004,"&lt;"&amp;DATE(YEAR(E$5),MONTH(E$5)+1,1)))</f>
        <v>0</v>
      </c>
      <c r="F6" s="46" t="n">
        <f aca="false">IF($B6="","",SUMIFS(入力!$C$5:$C$1004,入力!$B$5:$B$1004,$B6,入力!$A$5:$A$1004,"&gt;="&amp;F$5,入力!$A$5:$A$1004,"&lt;"&amp;DATE(YEAR(F$5),MONTH(F$5)+1,1)))</f>
        <v>0</v>
      </c>
      <c r="G6" s="46" t="n">
        <f aca="false">IF($B6="","",SUMIFS(入力!$C$5:$C$1004,入力!$B$5:$B$1004,$B6,入力!$A$5:$A$1004,"&gt;="&amp;G$5,入力!$A$5:$A$1004,"&lt;"&amp;DATE(YEAR(G$5),MONTH(G$5)+1,1)))</f>
        <v>0</v>
      </c>
      <c r="H6" s="46" t="n">
        <f aca="false">IF($B6="","",SUMIFS(入力!$C$5:$C$1004,入力!$B$5:$B$1004,$B6,入力!$A$5:$A$1004,"&gt;="&amp;H$5,入力!$A$5:$A$1004,"&lt;"&amp;DATE(YEAR(H$5),MONTH(H$5)+1,1)))</f>
        <v>0</v>
      </c>
      <c r="I6" s="46" t="n">
        <f aca="false">IF($B6="","",SUMIFS(入力!$C$5:$C$1004,入力!$B$5:$B$1004,$B6,入力!$A$5:$A$1004,"&gt;="&amp;I$5,入力!$A$5:$A$1004,"&lt;"&amp;DATE(YEAR(I$5),MONTH(I$5)+1,1)))</f>
        <v>0</v>
      </c>
      <c r="J6" s="46" t="n">
        <f aca="false">IF($B6="","",SUMIFS(入力!$C$5:$C$1004,入力!$B$5:$B$1004,$B6,入力!$A$5:$A$1004,"&gt;="&amp;J$5,入力!$A$5:$A$1004,"&lt;"&amp;DATE(YEAR(J$5),MONTH(J$5)+1,1)))</f>
        <v>0</v>
      </c>
      <c r="K6" s="46" t="n">
        <f aca="false">IF($B6="","",SUMIFS(入力!$C$5:$C$1004,入力!$B$5:$B$1004,$B6,入力!$A$5:$A$1004,"&gt;="&amp;K$5,入力!$A$5:$A$1004,"&lt;"&amp;DATE(YEAR(K$5),MONTH(K$5)+1,1)))</f>
        <v>0</v>
      </c>
      <c r="L6" s="46" t="n">
        <f aca="false">IF($B6="","",SUMIFS(入力!$C$5:$C$1004,入力!$B$5:$B$1004,$B6,入力!$A$5:$A$1004,"&gt;="&amp;L$5,入力!$A$5:$A$1004,"&lt;"&amp;DATE(YEAR(L$5),MONTH(L$5)+1,1)))</f>
        <v>0</v>
      </c>
      <c r="M6" s="46" t="n">
        <f aca="false">IF($B6="","",SUMIFS(入力!$C$5:$C$1004,入力!$B$5:$B$1004,$B6,入力!$A$5:$A$1004,"&gt;="&amp;M$5,入力!$A$5:$A$1004,"&lt;"&amp;DATE(YEAR(M$5),MONTH(M$5)+1,1)))</f>
        <v>0</v>
      </c>
      <c r="N6" s="46" t="n">
        <f aca="false">IF($B6="","",SUMIFS(入力!$C$5:$C$1004,入力!$B$5:$B$1004,$B6,入力!$A$5:$A$1004,"&gt;="&amp;N$5,入力!$A$5:$A$1004,"&lt;"&amp;DATE(YEAR(N$5),MONTH(N$5)+1,1)))</f>
        <v>0</v>
      </c>
      <c r="O6" s="47" t="n">
        <f aca="false">IF($B6="","",SUM(C6:N6))</f>
        <v>0</v>
      </c>
    </row>
    <row r="7" customFormat="false" ht="15" hidden="false" customHeight="false" outlineLevel="0" collapsed="false">
      <c r="B7" s="5" t="str">
        <f aca="false">IF(設定!B16="","",設定!B16)</f>
        <v>冠婚葬祭（ご祝儀・香典）</v>
      </c>
      <c r="C7" s="46" t="n">
        <f aca="false">IF($B7="","",SUMIFS(入力!$C$5:$C$1004,入力!$B$5:$B$1004,$B7,入力!$A$5:$A$1004,"&gt;="&amp;C$5,入力!$A$5:$A$1004,"&lt;"&amp;DATE(YEAR(C$5),MONTH(C$5)+1,1)))</f>
        <v>0</v>
      </c>
      <c r="D7" s="46" t="n">
        <f aca="false">IF($B7="","",SUMIFS(入力!$C$5:$C$1004,入力!$B$5:$B$1004,$B7,入力!$A$5:$A$1004,"&gt;="&amp;D$5,入力!$A$5:$A$1004,"&lt;"&amp;DATE(YEAR(D$5),MONTH(D$5)+1,1)))</f>
        <v>0</v>
      </c>
      <c r="E7" s="46" t="n">
        <f aca="false">IF($B7="","",SUMIFS(入力!$C$5:$C$1004,入力!$B$5:$B$1004,$B7,入力!$A$5:$A$1004,"&gt;="&amp;E$5,入力!$A$5:$A$1004,"&lt;"&amp;DATE(YEAR(E$5),MONTH(E$5)+1,1)))</f>
        <v>0</v>
      </c>
      <c r="F7" s="46" t="n">
        <f aca="false">IF($B7="","",SUMIFS(入力!$C$5:$C$1004,入力!$B$5:$B$1004,$B7,入力!$A$5:$A$1004,"&gt;="&amp;F$5,入力!$A$5:$A$1004,"&lt;"&amp;DATE(YEAR(F$5),MONTH(F$5)+1,1)))</f>
        <v>0</v>
      </c>
      <c r="G7" s="46" t="n">
        <f aca="false">IF($B7="","",SUMIFS(入力!$C$5:$C$1004,入力!$B$5:$B$1004,$B7,入力!$A$5:$A$1004,"&gt;="&amp;G$5,入力!$A$5:$A$1004,"&lt;"&amp;DATE(YEAR(G$5),MONTH(G$5)+1,1)))</f>
        <v>0</v>
      </c>
      <c r="H7" s="46" t="n">
        <f aca="false">IF($B7="","",SUMIFS(入力!$C$5:$C$1004,入力!$B$5:$B$1004,$B7,入力!$A$5:$A$1004,"&gt;="&amp;H$5,入力!$A$5:$A$1004,"&lt;"&amp;DATE(YEAR(H$5),MONTH(H$5)+1,1)))</f>
        <v>0</v>
      </c>
      <c r="I7" s="46" t="n">
        <f aca="false">IF($B7="","",SUMIFS(入力!$C$5:$C$1004,入力!$B$5:$B$1004,$B7,入力!$A$5:$A$1004,"&gt;="&amp;I$5,入力!$A$5:$A$1004,"&lt;"&amp;DATE(YEAR(I$5),MONTH(I$5)+1,1)))</f>
        <v>0</v>
      </c>
      <c r="J7" s="46" t="n">
        <f aca="false">IF($B7="","",SUMIFS(入力!$C$5:$C$1004,入力!$B$5:$B$1004,$B7,入力!$A$5:$A$1004,"&gt;="&amp;J$5,入力!$A$5:$A$1004,"&lt;"&amp;DATE(YEAR(J$5),MONTH(J$5)+1,1)))</f>
        <v>0</v>
      </c>
      <c r="K7" s="46" t="n">
        <f aca="false">IF($B7="","",SUMIFS(入力!$C$5:$C$1004,入力!$B$5:$B$1004,$B7,入力!$A$5:$A$1004,"&gt;="&amp;K$5,入力!$A$5:$A$1004,"&lt;"&amp;DATE(YEAR(K$5),MONTH(K$5)+1,1)))</f>
        <v>0</v>
      </c>
      <c r="L7" s="46" t="n">
        <f aca="false">IF($B7="","",SUMIFS(入力!$C$5:$C$1004,入力!$B$5:$B$1004,$B7,入力!$A$5:$A$1004,"&gt;="&amp;L$5,入力!$A$5:$A$1004,"&lt;"&amp;DATE(YEAR(L$5),MONTH(L$5)+1,1)))</f>
        <v>0</v>
      </c>
      <c r="M7" s="46" t="n">
        <f aca="false">IF($B7="","",SUMIFS(入力!$C$5:$C$1004,入力!$B$5:$B$1004,$B7,入力!$A$5:$A$1004,"&gt;="&amp;M$5,入力!$A$5:$A$1004,"&lt;"&amp;DATE(YEAR(M$5),MONTH(M$5)+1,1)))</f>
        <v>0</v>
      </c>
      <c r="N7" s="46" t="n">
        <f aca="false">IF($B7="","",SUMIFS(入力!$C$5:$C$1004,入力!$B$5:$B$1004,$B7,入力!$A$5:$A$1004,"&gt;="&amp;N$5,入力!$A$5:$A$1004,"&lt;"&amp;DATE(YEAR(N$5),MONTH(N$5)+1,1)))</f>
        <v>0</v>
      </c>
      <c r="O7" s="47" t="n">
        <f aca="false">IF($B7="","",SUM(C7:N7))</f>
        <v>0</v>
      </c>
    </row>
    <row r="8" customFormat="false" ht="15" hidden="false" customHeight="false" outlineLevel="0" collapsed="false">
      <c r="B8" s="5" t="str">
        <f aca="false">IF(設定!B17="","",設定!B17)</f>
        <v>誕生日・記念日</v>
      </c>
      <c r="C8" s="46" t="n">
        <f aca="false">IF($B8="","",SUMIFS(入力!$C$5:$C$1004,入力!$B$5:$B$1004,$B8,入力!$A$5:$A$1004,"&gt;="&amp;C$5,入力!$A$5:$A$1004,"&lt;"&amp;DATE(YEAR(C$5),MONTH(C$5)+1,1)))</f>
        <v>0</v>
      </c>
      <c r="D8" s="46" t="n">
        <f aca="false">IF($B8="","",SUMIFS(入力!$C$5:$C$1004,入力!$B$5:$B$1004,$B8,入力!$A$5:$A$1004,"&gt;="&amp;D$5,入力!$A$5:$A$1004,"&lt;"&amp;DATE(YEAR(D$5),MONTH(D$5)+1,1)))</f>
        <v>0</v>
      </c>
      <c r="E8" s="46" t="n">
        <f aca="false">IF($B8="","",SUMIFS(入力!$C$5:$C$1004,入力!$B$5:$B$1004,$B8,入力!$A$5:$A$1004,"&gt;="&amp;E$5,入力!$A$5:$A$1004,"&lt;"&amp;DATE(YEAR(E$5),MONTH(E$5)+1,1)))</f>
        <v>0</v>
      </c>
      <c r="F8" s="46" t="n">
        <f aca="false">IF($B8="","",SUMIFS(入力!$C$5:$C$1004,入力!$B$5:$B$1004,$B8,入力!$A$5:$A$1004,"&gt;="&amp;F$5,入力!$A$5:$A$1004,"&lt;"&amp;DATE(YEAR(F$5),MONTH(F$5)+1,1)))</f>
        <v>0</v>
      </c>
      <c r="G8" s="46" t="n">
        <f aca="false">IF($B8="","",SUMIFS(入力!$C$5:$C$1004,入力!$B$5:$B$1004,$B8,入力!$A$5:$A$1004,"&gt;="&amp;G$5,入力!$A$5:$A$1004,"&lt;"&amp;DATE(YEAR(G$5),MONTH(G$5)+1,1)))</f>
        <v>0</v>
      </c>
      <c r="H8" s="46" t="n">
        <f aca="false">IF($B8="","",SUMIFS(入力!$C$5:$C$1004,入力!$B$5:$B$1004,$B8,入力!$A$5:$A$1004,"&gt;="&amp;H$5,入力!$A$5:$A$1004,"&lt;"&amp;DATE(YEAR(H$5),MONTH(H$5)+1,1)))</f>
        <v>0</v>
      </c>
      <c r="I8" s="46" t="n">
        <f aca="false">IF($B8="","",SUMIFS(入力!$C$5:$C$1004,入力!$B$5:$B$1004,$B8,入力!$A$5:$A$1004,"&gt;="&amp;I$5,入力!$A$5:$A$1004,"&lt;"&amp;DATE(YEAR(I$5),MONTH(I$5)+1,1)))</f>
        <v>0</v>
      </c>
      <c r="J8" s="46" t="n">
        <f aca="false">IF($B8="","",SUMIFS(入力!$C$5:$C$1004,入力!$B$5:$B$1004,$B8,入力!$A$5:$A$1004,"&gt;="&amp;J$5,入力!$A$5:$A$1004,"&lt;"&amp;DATE(YEAR(J$5),MONTH(J$5)+1,1)))</f>
        <v>0</v>
      </c>
      <c r="K8" s="46" t="n">
        <f aca="false">IF($B8="","",SUMIFS(入力!$C$5:$C$1004,入力!$B$5:$B$1004,$B8,入力!$A$5:$A$1004,"&gt;="&amp;K$5,入力!$A$5:$A$1004,"&lt;"&amp;DATE(YEAR(K$5),MONTH(K$5)+1,1)))</f>
        <v>0</v>
      </c>
      <c r="L8" s="46" t="n">
        <f aca="false">IF($B8="","",SUMIFS(入力!$C$5:$C$1004,入力!$B$5:$B$1004,$B8,入力!$A$5:$A$1004,"&gt;="&amp;L$5,入力!$A$5:$A$1004,"&lt;"&amp;DATE(YEAR(L$5),MONTH(L$5)+1,1)))</f>
        <v>0</v>
      </c>
      <c r="M8" s="46" t="n">
        <f aca="false">IF($B8="","",SUMIFS(入力!$C$5:$C$1004,入力!$B$5:$B$1004,$B8,入力!$A$5:$A$1004,"&gt;="&amp;M$5,入力!$A$5:$A$1004,"&lt;"&amp;DATE(YEAR(M$5),MONTH(M$5)+1,1)))</f>
        <v>0</v>
      </c>
      <c r="N8" s="46" t="n">
        <f aca="false">IF($B8="","",SUMIFS(入力!$C$5:$C$1004,入力!$B$5:$B$1004,$B8,入力!$A$5:$A$1004,"&gt;="&amp;N$5,入力!$A$5:$A$1004,"&lt;"&amp;DATE(YEAR(N$5),MONTH(N$5)+1,1)))</f>
        <v>0</v>
      </c>
      <c r="O8" s="47" t="n">
        <f aca="false">IF($B8="","",SUM(C8:N8))</f>
        <v>0</v>
      </c>
    </row>
    <row r="9" customFormat="false" ht="15" hidden="false" customHeight="false" outlineLevel="0" collapsed="false">
      <c r="B9" s="5" t="str">
        <f aca="false">IF(設定!B18="","",設定!B18)</f>
        <v>クリスマス・年末年始</v>
      </c>
      <c r="C9" s="46" t="n">
        <f aca="false">IF($B9="","",SUMIFS(入力!$C$5:$C$1004,入力!$B$5:$B$1004,$B9,入力!$A$5:$A$1004,"&gt;="&amp;C$5,入力!$A$5:$A$1004,"&lt;"&amp;DATE(YEAR(C$5),MONTH(C$5)+1,1)))</f>
        <v>0</v>
      </c>
      <c r="D9" s="46" t="n">
        <f aca="false">IF($B9="","",SUMIFS(入力!$C$5:$C$1004,入力!$B$5:$B$1004,$B9,入力!$A$5:$A$1004,"&gt;="&amp;D$5,入力!$A$5:$A$1004,"&lt;"&amp;DATE(YEAR(D$5),MONTH(D$5)+1,1)))</f>
        <v>0</v>
      </c>
      <c r="E9" s="46" t="n">
        <f aca="false">IF($B9="","",SUMIFS(入力!$C$5:$C$1004,入力!$B$5:$B$1004,$B9,入力!$A$5:$A$1004,"&gt;="&amp;E$5,入力!$A$5:$A$1004,"&lt;"&amp;DATE(YEAR(E$5),MONTH(E$5)+1,1)))</f>
        <v>0</v>
      </c>
      <c r="F9" s="46" t="n">
        <f aca="false">IF($B9="","",SUMIFS(入力!$C$5:$C$1004,入力!$B$5:$B$1004,$B9,入力!$A$5:$A$1004,"&gt;="&amp;F$5,入力!$A$5:$A$1004,"&lt;"&amp;DATE(YEAR(F$5),MONTH(F$5)+1,1)))</f>
        <v>0</v>
      </c>
      <c r="G9" s="46" t="n">
        <f aca="false">IF($B9="","",SUMIFS(入力!$C$5:$C$1004,入力!$B$5:$B$1004,$B9,入力!$A$5:$A$1004,"&gt;="&amp;G$5,入力!$A$5:$A$1004,"&lt;"&amp;DATE(YEAR(G$5),MONTH(G$5)+1,1)))</f>
        <v>0</v>
      </c>
      <c r="H9" s="46" t="n">
        <f aca="false">IF($B9="","",SUMIFS(入力!$C$5:$C$1004,入力!$B$5:$B$1004,$B9,入力!$A$5:$A$1004,"&gt;="&amp;H$5,入力!$A$5:$A$1004,"&lt;"&amp;DATE(YEAR(H$5),MONTH(H$5)+1,1)))</f>
        <v>0</v>
      </c>
      <c r="I9" s="46" t="n">
        <f aca="false">IF($B9="","",SUMIFS(入力!$C$5:$C$1004,入力!$B$5:$B$1004,$B9,入力!$A$5:$A$1004,"&gt;="&amp;I$5,入力!$A$5:$A$1004,"&lt;"&amp;DATE(YEAR(I$5),MONTH(I$5)+1,1)))</f>
        <v>0</v>
      </c>
      <c r="J9" s="46" t="n">
        <f aca="false">IF($B9="","",SUMIFS(入力!$C$5:$C$1004,入力!$B$5:$B$1004,$B9,入力!$A$5:$A$1004,"&gt;="&amp;J$5,入力!$A$5:$A$1004,"&lt;"&amp;DATE(YEAR(J$5),MONTH(J$5)+1,1)))</f>
        <v>0</v>
      </c>
      <c r="K9" s="46" t="n">
        <f aca="false">IF($B9="","",SUMIFS(入力!$C$5:$C$1004,入力!$B$5:$B$1004,$B9,入力!$A$5:$A$1004,"&gt;="&amp;K$5,入力!$A$5:$A$1004,"&lt;"&amp;DATE(YEAR(K$5),MONTH(K$5)+1,1)))</f>
        <v>0</v>
      </c>
      <c r="L9" s="46" t="n">
        <f aca="false">IF($B9="","",SUMIFS(入力!$C$5:$C$1004,入力!$B$5:$B$1004,$B9,入力!$A$5:$A$1004,"&gt;="&amp;L$5,入力!$A$5:$A$1004,"&lt;"&amp;DATE(YEAR(L$5),MONTH(L$5)+1,1)))</f>
        <v>0</v>
      </c>
      <c r="M9" s="46" t="n">
        <f aca="false">IF($B9="","",SUMIFS(入力!$C$5:$C$1004,入力!$B$5:$B$1004,$B9,入力!$A$5:$A$1004,"&gt;="&amp;M$5,入力!$A$5:$A$1004,"&lt;"&amp;DATE(YEAR(M$5),MONTH(M$5)+1,1)))</f>
        <v>0</v>
      </c>
      <c r="N9" s="46" t="n">
        <f aca="false">IF($B9="","",SUMIFS(入力!$C$5:$C$1004,入力!$B$5:$B$1004,$B9,入力!$A$5:$A$1004,"&gt;="&amp;N$5,入力!$A$5:$A$1004,"&lt;"&amp;DATE(YEAR(N$5),MONTH(N$5)+1,1)))</f>
        <v>0</v>
      </c>
      <c r="O9" s="47" t="n">
        <f aca="false">IF($B9="","",SUM(C9:N9))</f>
        <v>0</v>
      </c>
    </row>
    <row r="10" customFormat="false" ht="15" hidden="false" customHeight="false" outlineLevel="0" collapsed="false">
      <c r="B10" s="5" t="str">
        <f aca="false">IF(設定!B19="","",設定!B19)</f>
        <v>お中元・お歳暮</v>
      </c>
      <c r="C10" s="46" t="n">
        <f aca="false">IF($B10="","",SUMIFS(入力!$C$5:$C$1004,入力!$B$5:$B$1004,$B10,入力!$A$5:$A$1004,"&gt;="&amp;C$5,入力!$A$5:$A$1004,"&lt;"&amp;DATE(YEAR(C$5),MONTH(C$5)+1,1)))</f>
        <v>0</v>
      </c>
      <c r="D10" s="46" t="n">
        <f aca="false">IF($B10="","",SUMIFS(入力!$C$5:$C$1004,入力!$B$5:$B$1004,$B10,入力!$A$5:$A$1004,"&gt;="&amp;D$5,入力!$A$5:$A$1004,"&lt;"&amp;DATE(YEAR(D$5),MONTH(D$5)+1,1)))</f>
        <v>0</v>
      </c>
      <c r="E10" s="46" t="n">
        <f aca="false">IF($B10="","",SUMIFS(入力!$C$5:$C$1004,入力!$B$5:$B$1004,$B10,入力!$A$5:$A$1004,"&gt;="&amp;E$5,入力!$A$5:$A$1004,"&lt;"&amp;DATE(YEAR(E$5),MONTH(E$5)+1,1)))</f>
        <v>0</v>
      </c>
      <c r="F10" s="46" t="n">
        <f aca="false">IF($B10="","",SUMIFS(入力!$C$5:$C$1004,入力!$B$5:$B$1004,$B10,入力!$A$5:$A$1004,"&gt;="&amp;F$5,入力!$A$5:$A$1004,"&lt;"&amp;DATE(YEAR(F$5),MONTH(F$5)+1,1)))</f>
        <v>0</v>
      </c>
      <c r="G10" s="46" t="n">
        <f aca="false">IF($B10="","",SUMIFS(入力!$C$5:$C$1004,入力!$B$5:$B$1004,$B10,入力!$A$5:$A$1004,"&gt;="&amp;G$5,入力!$A$5:$A$1004,"&lt;"&amp;DATE(YEAR(G$5),MONTH(G$5)+1,1)))</f>
        <v>0</v>
      </c>
      <c r="H10" s="46" t="n">
        <f aca="false">IF($B10="","",SUMIFS(入力!$C$5:$C$1004,入力!$B$5:$B$1004,$B10,入力!$A$5:$A$1004,"&gt;="&amp;H$5,入力!$A$5:$A$1004,"&lt;"&amp;DATE(YEAR(H$5),MONTH(H$5)+1,1)))</f>
        <v>0</v>
      </c>
      <c r="I10" s="46" t="n">
        <f aca="false">IF($B10="","",SUMIFS(入力!$C$5:$C$1004,入力!$B$5:$B$1004,$B10,入力!$A$5:$A$1004,"&gt;="&amp;I$5,入力!$A$5:$A$1004,"&lt;"&amp;DATE(YEAR(I$5),MONTH(I$5)+1,1)))</f>
        <v>0</v>
      </c>
      <c r="J10" s="46" t="n">
        <f aca="false">IF($B10="","",SUMIFS(入力!$C$5:$C$1004,入力!$B$5:$B$1004,$B10,入力!$A$5:$A$1004,"&gt;="&amp;J$5,入力!$A$5:$A$1004,"&lt;"&amp;DATE(YEAR(J$5),MONTH(J$5)+1,1)))</f>
        <v>0</v>
      </c>
      <c r="K10" s="46" t="n">
        <f aca="false">IF($B10="","",SUMIFS(入力!$C$5:$C$1004,入力!$B$5:$B$1004,$B10,入力!$A$5:$A$1004,"&gt;="&amp;K$5,入力!$A$5:$A$1004,"&lt;"&amp;DATE(YEAR(K$5),MONTH(K$5)+1,1)))</f>
        <v>0</v>
      </c>
      <c r="L10" s="46" t="n">
        <f aca="false">IF($B10="","",SUMIFS(入力!$C$5:$C$1004,入力!$B$5:$B$1004,$B10,入力!$A$5:$A$1004,"&gt;="&amp;L$5,入力!$A$5:$A$1004,"&lt;"&amp;DATE(YEAR(L$5),MONTH(L$5)+1,1)))</f>
        <v>0</v>
      </c>
      <c r="M10" s="46" t="n">
        <f aca="false">IF($B10="","",SUMIFS(入力!$C$5:$C$1004,入力!$B$5:$B$1004,$B10,入力!$A$5:$A$1004,"&gt;="&amp;M$5,入力!$A$5:$A$1004,"&lt;"&amp;DATE(YEAR(M$5),MONTH(M$5)+1,1)))</f>
        <v>0</v>
      </c>
      <c r="N10" s="46" t="n">
        <f aca="false">IF($B10="","",SUMIFS(入力!$C$5:$C$1004,入力!$B$5:$B$1004,$B10,入力!$A$5:$A$1004,"&gt;="&amp;N$5,入力!$A$5:$A$1004,"&lt;"&amp;DATE(YEAR(N$5),MONTH(N$5)+1,1)))</f>
        <v>0</v>
      </c>
      <c r="O10" s="47" t="n">
        <f aca="false">IF($B10="","",SUM(C10:N10))</f>
        <v>0</v>
      </c>
    </row>
    <row r="11" customFormat="false" ht="15" hidden="false" customHeight="false" outlineLevel="0" collapsed="false">
      <c r="B11" s="5" t="str">
        <f aca="false">IF(設定!B20="","",設定!B20)</f>
        <v>美容（ヘア・ネイル）</v>
      </c>
      <c r="C11" s="46" t="n">
        <f aca="false">IF($B11="","",SUMIFS(入力!$C$5:$C$1004,入力!$B$5:$B$1004,$B11,入力!$A$5:$A$1004,"&gt;="&amp;C$5,入力!$A$5:$A$1004,"&lt;"&amp;DATE(YEAR(C$5),MONTH(C$5)+1,1)))</f>
        <v>0</v>
      </c>
      <c r="D11" s="46" t="n">
        <f aca="false">IF($B11="","",SUMIFS(入力!$C$5:$C$1004,入力!$B$5:$B$1004,$B11,入力!$A$5:$A$1004,"&gt;="&amp;D$5,入力!$A$5:$A$1004,"&lt;"&amp;DATE(YEAR(D$5),MONTH(D$5)+1,1)))</f>
        <v>0</v>
      </c>
      <c r="E11" s="46" t="n">
        <f aca="false">IF($B11="","",SUMIFS(入力!$C$5:$C$1004,入力!$B$5:$B$1004,$B11,入力!$A$5:$A$1004,"&gt;="&amp;E$5,入力!$A$5:$A$1004,"&lt;"&amp;DATE(YEAR(E$5),MONTH(E$5)+1,1)))</f>
        <v>0</v>
      </c>
      <c r="F11" s="46" t="n">
        <f aca="false">IF($B11="","",SUMIFS(入力!$C$5:$C$1004,入力!$B$5:$B$1004,$B11,入力!$A$5:$A$1004,"&gt;="&amp;F$5,入力!$A$5:$A$1004,"&lt;"&amp;DATE(YEAR(F$5),MONTH(F$5)+1,1)))</f>
        <v>0</v>
      </c>
      <c r="G11" s="46" t="n">
        <f aca="false">IF($B11="","",SUMIFS(入力!$C$5:$C$1004,入力!$B$5:$B$1004,$B11,入力!$A$5:$A$1004,"&gt;="&amp;G$5,入力!$A$5:$A$1004,"&lt;"&amp;DATE(YEAR(G$5),MONTH(G$5)+1,1)))</f>
        <v>0</v>
      </c>
      <c r="H11" s="46" t="n">
        <f aca="false">IF($B11="","",SUMIFS(入力!$C$5:$C$1004,入力!$B$5:$B$1004,$B11,入力!$A$5:$A$1004,"&gt;="&amp;H$5,入力!$A$5:$A$1004,"&lt;"&amp;DATE(YEAR(H$5),MONTH(H$5)+1,1)))</f>
        <v>0</v>
      </c>
      <c r="I11" s="46" t="n">
        <f aca="false">IF($B11="","",SUMIFS(入力!$C$5:$C$1004,入力!$B$5:$B$1004,$B11,入力!$A$5:$A$1004,"&gt;="&amp;I$5,入力!$A$5:$A$1004,"&lt;"&amp;DATE(YEAR(I$5),MONTH(I$5)+1,1)))</f>
        <v>0</v>
      </c>
      <c r="J11" s="46" t="n">
        <f aca="false">IF($B11="","",SUMIFS(入力!$C$5:$C$1004,入力!$B$5:$B$1004,$B11,入力!$A$5:$A$1004,"&gt;="&amp;J$5,入力!$A$5:$A$1004,"&lt;"&amp;DATE(YEAR(J$5),MONTH(J$5)+1,1)))</f>
        <v>0</v>
      </c>
      <c r="K11" s="46" t="n">
        <f aca="false">IF($B11="","",SUMIFS(入力!$C$5:$C$1004,入力!$B$5:$B$1004,$B11,入力!$A$5:$A$1004,"&gt;="&amp;K$5,入力!$A$5:$A$1004,"&lt;"&amp;DATE(YEAR(K$5),MONTH(K$5)+1,1)))</f>
        <v>0</v>
      </c>
      <c r="L11" s="46" t="n">
        <f aca="false">IF($B11="","",SUMIFS(入力!$C$5:$C$1004,入力!$B$5:$B$1004,$B11,入力!$A$5:$A$1004,"&gt;="&amp;L$5,入力!$A$5:$A$1004,"&lt;"&amp;DATE(YEAR(L$5),MONTH(L$5)+1,1)))</f>
        <v>0</v>
      </c>
      <c r="M11" s="46" t="n">
        <f aca="false">IF($B11="","",SUMIFS(入力!$C$5:$C$1004,入力!$B$5:$B$1004,$B11,入力!$A$5:$A$1004,"&gt;="&amp;M$5,入力!$A$5:$A$1004,"&lt;"&amp;DATE(YEAR(M$5),MONTH(M$5)+1,1)))</f>
        <v>0</v>
      </c>
      <c r="N11" s="46" t="n">
        <f aca="false">IF($B11="","",SUMIFS(入力!$C$5:$C$1004,入力!$B$5:$B$1004,$B11,入力!$A$5:$A$1004,"&gt;="&amp;N$5,入力!$A$5:$A$1004,"&lt;"&amp;DATE(YEAR(N$5),MONTH(N$5)+1,1)))</f>
        <v>0</v>
      </c>
      <c r="O11" s="47" t="n">
        <f aca="false">IF($B11="","",SUM(C11:N11))</f>
        <v>0</v>
      </c>
    </row>
    <row r="12" customFormat="false" ht="15" hidden="false" customHeight="false" outlineLevel="0" collapsed="false">
      <c r="B12" s="5" t="str">
        <f aca="false">IF(設定!B21="","",設定!B21)</f>
        <v>推し活・イベント</v>
      </c>
      <c r="C12" s="46" t="n">
        <f aca="false">IF($B12="","",SUMIFS(入力!$C$5:$C$1004,入力!$B$5:$B$1004,$B12,入力!$A$5:$A$1004,"&gt;="&amp;C$5,入力!$A$5:$A$1004,"&lt;"&amp;DATE(YEAR(C$5),MONTH(C$5)+1,1)))</f>
        <v>0</v>
      </c>
      <c r="D12" s="46" t="n">
        <f aca="false">IF($B12="","",SUMIFS(入力!$C$5:$C$1004,入力!$B$5:$B$1004,$B12,入力!$A$5:$A$1004,"&gt;="&amp;D$5,入力!$A$5:$A$1004,"&lt;"&amp;DATE(YEAR(D$5),MONTH(D$5)+1,1)))</f>
        <v>0</v>
      </c>
      <c r="E12" s="46" t="n">
        <f aca="false">IF($B12="","",SUMIFS(入力!$C$5:$C$1004,入力!$B$5:$B$1004,$B12,入力!$A$5:$A$1004,"&gt;="&amp;E$5,入力!$A$5:$A$1004,"&lt;"&amp;DATE(YEAR(E$5),MONTH(E$5)+1,1)))</f>
        <v>0</v>
      </c>
      <c r="F12" s="46" t="n">
        <f aca="false">IF($B12="","",SUMIFS(入力!$C$5:$C$1004,入力!$B$5:$B$1004,$B12,入力!$A$5:$A$1004,"&gt;="&amp;F$5,入力!$A$5:$A$1004,"&lt;"&amp;DATE(YEAR(F$5),MONTH(F$5)+1,1)))</f>
        <v>0</v>
      </c>
      <c r="G12" s="46" t="n">
        <f aca="false">IF($B12="","",SUMIFS(入力!$C$5:$C$1004,入力!$B$5:$B$1004,$B12,入力!$A$5:$A$1004,"&gt;="&amp;G$5,入力!$A$5:$A$1004,"&lt;"&amp;DATE(YEAR(G$5),MONTH(G$5)+1,1)))</f>
        <v>0</v>
      </c>
      <c r="H12" s="46" t="n">
        <f aca="false">IF($B12="","",SUMIFS(入力!$C$5:$C$1004,入力!$B$5:$B$1004,$B12,入力!$A$5:$A$1004,"&gt;="&amp;H$5,入力!$A$5:$A$1004,"&lt;"&amp;DATE(YEAR(H$5),MONTH(H$5)+1,1)))</f>
        <v>0</v>
      </c>
      <c r="I12" s="46" t="n">
        <f aca="false">IF($B12="","",SUMIFS(入力!$C$5:$C$1004,入力!$B$5:$B$1004,$B12,入力!$A$5:$A$1004,"&gt;="&amp;I$5,入力!$A$5:$A$1004,"&lt;"&amp;DATE(YEAR(I$5),MONTH(I$5)+1,1)))</f>
        <v>0</v>
      </c>
      <c r="J12" s="46" t="n">
        <f aca="false">IF($B12="","",SUMIFS(入力!$C$5:$C$1004,入力!$B$5:$B$1004,$B12,入力!$A$5:$A$1004,"&gt;="&amp;J$5,入力!$A$5:$A$1004,"&lt;"&amp;DATE(YEAR(J$5),MONTH(J$5)+1,1)))</f>
        <v>0</v>
      </c>
      <c r="K12" s="46" t="n">
        <f aca="false">IF($B12="","",SUMIFS(入力!$C$5:$C$1004,入力!$B$5:$B$1004,$B12,入力!$A$5:$A$1004,"&gt;="&amp;K$5,入力!$A$5:$A$1004,"&lt;"&amp;DATE(YEAR(K$5),MONTH(K$5)+1,1)))</f>
        <v>0</v>
      </c>
      <c r="L12" s="46" t="n">
        <f aca="false">IF($B12="","",SUMIFS(入力!$C$5:$C$1004,入力!$B$5:$B$1004,$B12,入力!$A$5:$A$1004,"&gt;="&amp;L$5,入力!$A$5:$A$1004,"&lt;"&amp;DATE(YEAR(L$5),MONTH(L$5)+1,1)))</f>
        <v>0</v>
      </c>
      <c r="M12" s="46" t="n">
        <f aca="false">IF($B12="","",SUMIFS(入力!$C$5:$C$1004,入力!$B$5:$B$1004,$B12,入力!$A$5:$A$1004,"&gt;="&amp;M$5,入力!$A$5:$A$1004,"&lt;"&amp;DATE(YEAR(M$5),MONTH(M$5)+1,1)))</f>
        <v>0</v>
      </c>
      <c r="N12" s="46" t="n">
        <f aca="false">IF($B12="","",SUMIFS(入力!$C$5:$C$1004,入力!$B$5:$B$1004,$B12,入力!$A$5:$A$1004,"&gt;="&amp;N$5,入力!$A$5:$A$1004,"&lt;"&amp;DATE(YEAR(N$5),MONTH(N$5)+1,1)))</f>
        <v>0</v>
      </c>
      <c r="O12" s="47" t="n">
        <f aca="false">IF($B12="","",SUM(C12:N12))</f>
        <v>0</v>
      </c>
    </row>
    <row r="13" customFormat="false" ht="15" hidden="false" customHeight="false" outlineLevel="0" collapsed="false">
      <c r="B13" s="5" t="str">
        <f aca="false">IF(設定!B22="","",設定!B22)</f>
        <v>家電・家具の買い替え</v>
      </c>
      <c r="C13" s="46" t="n">
        <f aca="false">IF($B13="","",SUMIFS(入力!$C$5:$C$1004,入力!$B$5:$B$1004,$B13,入力!$A$5:$A$1004,"&gt;="&amp;C$5,入力!$A$5:$A$1004,"&lt;"&amp;DATE(YEAR(C$5),MONTH(C$5)+1,1)))</f>
        <v>0</v>
      </c>
      <c r="D13" s="46" t="n">
        <f aca="false">IF($B13="","",SUMIFS(入力!$C$5:$C$1004,入力!$B$5:$B$1004,$B13,入力!$A$5:$A$1004,"&gt;="&amp;D$5,入力!$A$5:$A$1004,"&lt;"&amp;DATE(YEAR(D$5),MONTH(D$5)+1,1)))</f>
        <v>0</v>
      </c>
      <c r="E13" s="46" t="n">
        <f aca="false">IF($B13="","",SUMIFS(入力!$C$5:$C$1004,入力!$B$5:$B$1004,$B13,入力!$A$5:$A$1004,"&gt;="&amp;E$5,入力!$A$5:$A$1004,"&lt;"&amp;DATE(YEAR(E$5),MONTH(E$5)+1,1)))</f>
        <v>0</v>
      </c>
      <c r="F13" s="46" t="n">
        <f aca="false">IF($B13="","",SUMIFS(入力!$C$5:$C$1004,入力!$B$5:$B$1004,$B13,入力!$A$5:$A$1004,"&gt;="&amp;F$5,入力!$A$5:$A$1004,"&lt;"&amp;DATE(YEAR(F$5),MONTH(F$5)+1,1)))</f>
        <v>0</v>
      </c>
      <c r="G13" s="46" t="n">
        <f aca="false">IF($B13="","",SUMIFS(入力!$C$5:$C$1004,入力!$B$5:$B$1004,$B13,入力!$A$5:$A$1004,"&gt;="&amp;G$5,入力!$A$5:$A$1004,"&lt;"&amp;DATE(YEAR(G$5),MONTH(G$5)+1,1)))</f>
        <v>0</v>
      </c>
      <c r="H13" s="46" t="n">
        <f aca="false">IF($B13="","",SUMIFS(入力!$C$5:$C$1004,入力!$B$5:$B$1004,$B13,入力!$A$5:$A$1004,"&gt;="&amp;H$5,入力!$A$5:$A$1004,"&lt;"&amp;DATE(YEAR(H$5),MONTH(H$5)+1,1)))</f>
        <v>0</v>
      </c>
      <c r="I13" s="46" t="n">
        <f aca="false">IF($B13="","",SUMIFS(入力!$C$5:$C$1004,入力!$B$5:$B$1004,$B13,入力!$A$5:$A$1004,"&gt;="&amp;I$5,入力!$A$5:$A$1004,"&lt;"&amp;DATE(YEAR(I$5),MONTH(I$5)+1,1)))</f>
        <v>0</v>
      </c>
      <c r="J13" s="46" t="n">
        <f aca="false">IF($B13="","",SUMIFS(入力!$C$5:$C$1004,入力!$B$5:$B$1004,$B13,入力!$A$5:$A$1004,"&gt;="&amp;J$5,入力!$A$5:$A$1004,"&lt;"&amp;DATE(YEAR(J$5),MONTH(J$5)+1,1)))</f>
        <v>0</v>
      </c>
      <c r="K13" s="46" t="n">
        <f aca="false">IF($B13="","",SUMIFS(入力!$C$5:$C$1004,入力!$B$5:$B$1004,$B13,入力!$A$5:$A$1004,"&gt;="&amp;K$5,入力!$A$5:$A$1004,"&lt;"&amp;DATE(YEAR(K$5),MONTH(K$5)+1,1)))</f>
        <v>0</v>
      </c>
      <c r="L13" s="46" t="n">
        <f aca="false">IF($B13="","",SUMIFS(入力!$C$5:$C$1004,入力!$B$5:$B$1004,$B13,入力!$A$5:$A$1004,"&gt;="&amp;L$5,入力!$A$5:$A$1004,"&lt;"&amp;DATE(YEAR(L$5),MONTH(L$5)+1,1)))</f>
        <v>0</v>
      </c>
      <c r="M13" s="46" t="n">
        <f aca="false">IF($B13="","",SUMIFS(入力!$C$5:$C$1004,入力!$B$5:$B$1004,$B13,入力!$A$5:$A$1004,"&gt;="&amp;M$5,入力!$A$5:$A$1004,"&lt;"&amp;DATE(YEAR(M$5),MONTH(M$5)+1,1)))</f>
        <v>0</v>
      </c>
      <c r="N13" s="46" t="n">
        <f aca="false">IF($B13="","",SUMIFS(入力!$C$5:$C$1004,入力!$B$5:$B$1004,$B13,入力!$A$5:$A$1004,"&gt;="&amp;N$5,入力!$A$5:$A$1004,"&lt;"&amp;DATE(YEAR(N$5),MONTH(N$5)+1,1)))</f>
        <v>0</v>
      </c>
      <c r="O13" s="47" t="n">
        <f aca="false">IF($B13="","",SUM(C13:N13))</f>
        <v>0</v>
      </c>
    </row>
    <row r="14" customFormat="false" ht="15" hidden="false" customHeight="false" outlineLevel="0" collapsed="false">
      <c r="B14" s="5" t="str">
        <f aca="false">IF(設定!B23="","",設定!B23)</f>
        <v>資格・習い事</v>
      </c>
      <c r="C14" s="46" t="n">
        <f aca="false">IF($B14="","",SUMIFS(入力!$C$5:$C$1004,入力!$B$5:$B$1004,$B14,入力!$A$5:$A$1004,"&gt;="&amp;C$5,入力!$A$5:$A$1004,"&lt;"&amp;DATE(YEAR(C$5),MONTH(C$5)+1,1)))</f>
        <v>0</v>
      </c>
      <c r="D14" s="46" t="n">
        <f aca="false">IF($B14="","",SUMIFS(入力!$C$5:$C$1004,入力!$B$5:$B$1004,$B14,入力!$A$5:$A$1004,"&gt;="&amp;D$5,入力!$A$5:$A$1004,"&lt;"&amp;DATE(YEAR(D$5),MONTH(D$5)+1,1)))</f>
        <v>0</v>
      </c>
      <c r="E14" s="46" t="n">
        <f aca="false">IF($B14="","",SUMIFS(入力!$C$5:$C$1004,入力!$B$5:$B$1004,$B14,入力!$A$5:$A$1004,"&gt;="&amp;E$5,入力!$A$5:$A$1004,"&lt;"&amp;DATE(YEAR(E$5),MONTH(E$5)+1,1)))</f>
        <v>0</v>
      </c>
      <c r="F14" s="46" t="n">
        <f aca="false">IF($B14="","",SUMIFS(入力!$C$5:$C$1004,入力!$B$5:$B$1004,$B14,入力!$A$5:$A$1004,"&gt;="&amp;F$5,入力!$A$5:$A$1004,"&lt;"&amp;DATE(YEAR(F$5),MONTH(F$5)+1,1)))</f>
        <v>0</v>
      </c>
      <c r="G14" s="46" t="n">
        <f aca="false">IF($B14="","",SUMIFS(入力!$C$5:$C$1004,入力!$B$5:$B$1004,$B14,入力!$A$5:$A$1004,"&gt;="&amp;G$5,入力!$A$5:$A$1004,"&lt;"&amp;DATE(YEAR(G$5),MONTH(G$5)+1,1)))</f>
        <v>0</v>
      </c>
      <c r="H14" s="46" t="n">
        <f aca="false">IF($B14="","",SUMIFS(入力!$C$5:$C$1004,入力!$B$5:$B$1004,$B14,入力!$A$5:$A$1004,"&gt;="&amp;H$5,入力!$A$5:$A$1004,"&lt;"&amp;DATE(YEAR(H$5),MONTH(H$5)+1,1)))</f>
        <v>0</v>
      </c>
      <c r="I14" s="46" t="n">
        <f aca="false">IF($B14="","",SUMIFS(入力!$C$5:$C$1004,入力!$B$5:$B$1004,$B14,入力!$A$5:$A$1004,"&gt;="&amp;I$5,入力!$A$5:$A$1004,"&lt;"&amp;DATE(YEAR(I$5),MONTH(I$5)+1,1)))</f>
        <v>0</v>
      </c>
      <c r="J14" s="46" t="n">
        <f aca="false">IF($B14="","",SUMIFS(入力!$C$5:$C$1004,入力!$B$5:$B$1004,$B14,入力!$A$5:$A$1004,"&gt;="&amp;J$5,入力!$A$5:$A$1004,"&lt;"&amp;DATE(YEAR(J$5),MONTH(J$5)+1,1)))</f>
        <v>0</v>
      </c>
      <c r="K14" s="46" t="n">
        <f aca="false">IF($B14="","",SUMIFS(入力!$C$5:$C$1004,入力!$B$5:$B$1004,$B14,入力!$A$5:$A$1004,"&gt;="&amp;K$5,入力!$A$5:$A$1004,"&lt;"&amp;DATE(YEAR(K$5),MONTH(K$5)+1,1)))</f>
        <v>0</v>
      </c>
      <c r="L14" s="46" t="n">
        <f aca="false">IF($B14="","",SUMIFS(入力!$C$5:$C$1004,入力!$B$5:$B$1004,$B14,入力!$A$5:$A$1004,"&gt;="&amp;L$5,入力!$A$5:$A$1004,"&lt;"&amp;DATE(YEAR(L$5),MONTH(L$5)+1,1)))</f>
        <v>0</v>
      </c>
      <c r="M14" s="46" t="n">
        <f aca="false">IF($B14="","",SUMIFS(入力!$C$5:$C$1004,入力!$B$5:$B$1004,$B14,入力!$A$5:$A$1004,"&gt;="&amp;M$5,入力!$A$5:$A$1004,"&lt;"&amp;DATE(YEAR(M$5),MONTH(M$5)+1,1)))</f>
        <v>0</v>
      </c>
      <c r="N14" s="46" t="n">
        <f aca="false">IF($B14="","",SUMIFS(入力!$C$5:$C$1004,入力!$B$5:$B$1004,$B14,入力!$A$5:$A$1004,"&gt;="&amp;N$5,入力!$A$5:$A$1004,"&lt;"&amp;DATE(YEAR(N$5),MONTH(N$5)+1,1)))</f>
        <v>0</v>
      </c>
      <c r="O14" s="47" t="n">
        <f aca="false">IF($B14="","",SUM(C14:N14))</f>
        <v>0</v>
      </c>
    </row>
    <row r="15" customFormat="false" ht="15" hidden="false" customHeight="false" outlineLevel="0" collapsed="false">
      <c r="B15" s="5" t="str">
        <f aca="false">IF(設定!B24="","",設定!B24)</f>
        <v>年払い（保険・サブスク）</v>
      </c>
      <c r="C15" s="46" t="n">
        <f aca="false">IF($B15="","",SUMIFS(入力!$C$5:$C$1004,入力!$B$5:$B$1004,$B15,入力!$A$5:$A$1004,"&gt;="&amp;C$5,入力!$A$5:$A$1004,"&lt;"&amp;DATE(YEAR(C$5),MONTH(C$5)+1,1)))</f>
        <v>0</v>
      </c>
      <c r="D15" s="46" t="n">
        <f aca="false">IF($B15="","",SUMIFS(入力!$C$5:$C$1004,入力!$B$5:$B$1004,$B15,入力!$A$5:$A$1004,"&gt;="&amp;D$5,入力!$A$5:$A$1004,"&lt;"&amp;DATE(YEAR(D$5),MONTH(D$5)+1,1)))</f>
        <v>0</v>
      </c>
      <c r="E15" s="46" t="n">
        <f aca="false">IF($B15="","",SUMIFS(入力!$C$5:$C$1004,入力!$B$5:$B$1004,$B15,入力!$A$5:$A$1004,"&gt;="&amp;E$5,入力!$A$5:$A$1004,"&lt;"&amp;DATE(YEAR(E$5),MONTH(E$5)+1,1)))</f>
        <v>0</v>
      </c>
      <c r="F15" s="46" t="n">
        <f aca="false">IF($B15="","",SUMIFS(入力!$C$5:$C$1004,入力!$B$5:$B$1004,$B15,入力!$A$5:$A$1004,"&gt;="&amp;F$5,入力!$A$5:$A$1004,"&lt;"&amp;DATE(YEAR(F$5),MONTH(F$5)+1,1)))</f>
        <v>0</v>
      </c>
      <c r="G15" s="46" t="n">
        <f aca="false">IF($B15="","",SUMIFS(入力!$C$5:$C$1004,入力!$B$5:$B$1004,$B15,入力!$A$5:$A$1004,"&gt;="&amp;G$5,入力!$A$5:$A$1004,"&lt;"&amp;DATE(YEAR(G$5),MONTH(G$5)+1,1)))</f>
        <v>0</v>
      </c>
      <c r="H15" s="46" t="n">
        <f aca="false">IF($B15="","",SUMIFS(入力!$C$5:$C$1004,入力!$B$5:$B$1004,$B15,入力!$A$5:$A$1004,"&gt;="&amp;H$5,入力!$A$5:$A$1004,"&lt;"&amp;DATE(YEAR(H$5),MONTH(H$5)+1,1)))</f>
        <v>0</v>
      </c>
      <c r="I15" s="46" t="n">
        <f aca="false">IF($B15="","",SUMIFS(入力!$C$5:$C$1004,入力!$B$5:$B$1004,$B15,入力!$A$5:$A$1004,"&gt;="&amp;I$5,入力!$A$5:$A$1004,"&lt;"&amp;DATE(YEAR(I$5),MONTH(I$5)+1,1)))</f>
        <v>0</v>
      </c>
      <c r="J15" s="46" t="n">
        <f aca="false">IF($B15="","",SUMIFS(入力!$C$5:$C$1004,入力!$B$5:$B$1004,$B15,入力!$A$5:$A$1004,"&gt;="&amp;J$5,入力!$A$5:$A$1004,"&lt;"&amp;DATE(YEAR(J$5),MONTH(J$5)+1,1)))</f>
        <v>0</v>
      </c>
      <c r="K15" s="46" t="n">
        <f aca="false">IF($B15="","",SUMIFS(入力!$C$5:$C$1004,入力!$B$5:$B$1004,$B15,入力!$A$5:$A$1004,"&gt;="&amp;K$5,入力!$A$5:$A$1004,"&lt;"&amp;DATE(YEAR(K$5),MONTH(K$5)+1,1)))</f>
        <v>0</v>
      </c>
      <c r="L15" s="46" t="n">
        <f aca="false">IF($B15="","",SUMIFS(入力!$C$5:$C$1004,入力!$B$5:$B$1004,$B15,入力!$A$5:$A$1004,"&gt;="&amp;L$5,入力!$A$5:$A$1004,"&lt;"&amp;DATE(YEAR(L$5),MONTH(L$5)+1,1)))</f>
        <v>0</v>
      </c>
      <c r="M15" s="46" t="n">
        <f aca="false">IF($B15="","",SUMIFS(入力!$C$5:$C$1004,入力!$B$5:$B$1004,$B15,入力!$A$5:$A$1004,"&gt;="&amp;M$5,入力!$A$5:$A$1004,"&lt;"&amp;DATE(YEAR(M$5),MONTH(M$5)+1,1)))</f>
        <v>0</v>
      </c>
      <c r="N15" s="46" t="n">
        <f aca="false">IF($B15="","",SUMIFS(入力!$C$5:$C$1004,入力!$B$5:$B$1004,$B15,入力!$A$5:$A$1004,"&gt;="&amp;N$5,入力!$A$5:$A$1004,"&lt;"&amp;DATE(YEAR(N$5),MONTH(N$5)+1,1)))</f>
        <v>0</v>
      </c>
      <c r="O15" s="47" t="n">
        <f aca="false">IF($B15="","",SUM(C15:N15))</f>
        <v>0</v>
      </c>
    </row>
    <row r="16" customFormat="false" ht="15" hidden="false" customHeight="false" outlineLevel="0" collapsed="false">
      <c r="B16" s="5" t="str">
        <f aca="false">IF(設定!B25="","",設定!B25)</f>
        <v>その他（予備費）</v>
      </c>
      <c r="C16" s="46" t="n">
        <f aca="false">IF($B16="","",SUMIFS(入力!$C$5:$C$1004,入力!$B$5:$B$1004,$B16,入力!$A$5:$A$1004,"&gt;="&amp;C$5,入力!$A$5:$A$1004,"&lt;"&amp;DATE(YEAR(C$5),MONTH(C$5)+1,1)))</f>
        <v>0</v>
      </c>
      <c r="D16" s="46" t="n">
        <f aca="false">IF($B16="","",SUMIFS(入力!$C$5:$C$1004,入力!$B$5:$B$1004,$B16,入力!$A$5:$A$1004,"&gt;="&amp;D$5,入力!$A$5:$A$1004,"&lt;"&amp;DATE(YEAR(D$5),MONTH(D$5)+1,1)))</f>
        <v>0</v>
      </c>
      <c r="E16" s="46" t="n">
        <f aca="false">IF($B16="","",SUMIFS(入力!$C$5:$C$1004,入力!$B$5:$B$1004,$B16,入力!$A$5:$A$1004,"&gt;="&amp;E$5,入力!$A$5:$A$1004,"&lt;"&amp;DATE(YEAR(E$5),MONTH(E$5)+1,1)))</f>
        <v>0</v>
      </c>
      <c r="F16" s="46" t="n">
        <f aca="false">IF($B16="","",SUMIFS(入力!$C$5:$C$1004,入力!$B$5:$B$1004,$B16,入力!$A$5:$A$1004,"&gt;="&amp;F$5,入力!$A$5:$A$1004,"&lt;"&amp;DATE(YEAR(F$5),MONTH(F$5)+1,1)))</f>
        <v>0</v>
      </c>
      <c r="G16" s="46" t="n">
        <f aca="false">IF($B16="","",SUMIFS(入力!$C$5:$C$1004,入力!$B$5:$B$1004,$B16,入力!$A$5:$A$1004,"&gt;="&amp;G$5,入力!$A$5:$A$1004,"&lt;"&amp;DATE(YEAR(G$5),MONTH(G$5)+1,1)))</f>
        <v>0</v>
      </c>
      <c r="H16" s="46" t="n">
        <f aca="false">IF($B16="","",SUMIFS(入力!$C$5:$C$1004,入力!$B$5:$B$1004,$B16,入力!$A$5:$A$1004,"&gt;="&amp;H$5,入力!$A$5:$A$1004,"&lt;"&amp;DATE(YEAR(H$5),MONTH(H$5)+1,1)))</f>
        <v>0</v>
      </c>
      <c r="I16" s="46" t="n">
        <f aca="false">IF($B16="","",SUMIFS(入力!$C$5:$C$1004,入力!$B$5:$B$1004,$B16,入力!$A$5:$A$1004,"&gt;="&amp;I$5,入力!$A$5:$A$1004,"&lt;"&amp;DATE(YEAR(I$5),MONTH(I$5)+1,1)))</f>
        <v>0</v>
      </c>
      <c r="J16" s="46" t="n">
        <f aca="false">IF($B16="","",SUMIFS(入力!$C$5:$C$1004,入力!$B$5:$B$1004,$B16,入力!$A$5:$A$1004,"&gt;="&amp;J$5,入力!$A$5:$A$1004,"&lt;"&amp;DATE(YEAR(J$5),MONTH(J$5)+1,1)))</f>
        <v>0</v>
      </c>
      <c r="K16" s="46" t="n">
        <f aca="false">IF($B16="","",SUMIFS(入力!$C$5:$C$1004,入力!$B$5:$B$1004,$B16,入力!$A$5:$A$1004,"&gt;="&amp;K$5,入力!$A$5:$A$1004,"&lt;"&amp;DATE(YEAR(K$5),MONTH(K$5)+1,1)))</f>
        <v>0</v>
      </c>
      <c r="L16" s="46" t="n">
        <f aca="false">IF($B16="","",SUMIFS(入力!$C$5:$C$1004,入力!$B$5:$B$1004,$B16,入力!$A$5:$A$1004,"&gt;="&amp;L$5,入力!$A$5:$A$1004,"&lt;"&amp;DATE(YEAR(L$5),MONTH(L$5)+1,1)))</f>
        <v>0</v>
      </c>
      <c r="M16" s="46" t="n">
        <f aca="false">IF($B16="","",SUMIFS(入力!$C$5:$C$1004,入力!$B$5:$B$1004,$B16,入力!$A$5:$A$1004,"&gt;="&amp;M$5,入力!$A$5:$A$1004,"&lt;"&amp;DATE(YEAR(M$5),MONTH(M$5)+1,1)))</f>
        <v>0</v>
      </c>
      <c r="N16" s="46" t="n">
        <f aca="false">IF($B16="","",SUMIFS(入力!$C$5:$C$1004,入力!$B$5:$B$1004,$B16,入力!$A$5:$A$1004,"&gt;="&amp;N$5,入力!$A$5:$A$1004,"&lt;"&amp;DATE(YEAR(N$5),MONTH(N$5)+1,1)))</f>
        <v>0</v>
      </c>
      <c r="O16" s="47" t="n">
        <f aca="false">IF($B16="","",SUM(C16:N16))</f>
        <v>0</v>
      </c>
    </row>
    <row r="17" customFormat="false" ht="15" hidden="false" customHeight="false" outlineLevel="0" collapsed="false">
      <c r="B17" s="5" t="str">
        <f aca="false">IF(設定!B26="","",設定!B26)</f>
        <v/>
      </c>
      <c r="C17" s="46" t="str">
        <f aca="false">IF($B17="","",SUMIFS(入力!$C$5:$C$1004,入力!$B$5:$B$1004,$B17,入力!$A$5:$A$1004,"&gt;="&amp;C$5,入力!$A$5:$A$1004,"&lt;"&amp;DATE(YEAR(C$5),MONTH(C$5)+1,1)))</f>
        <v/>
      </c>
      <c r="D17" s="46" t="str">
        <f aca="false">IF($B17="","",SUMIFS(入力!$C$5:$C$1004,入力!$B$5:$B$1004,$B17,入力!$A$5:$A$1004,"&gt;="&amp;D$5,入力!$A$5:$A$1004,"&lt;"&amp;DATE(YEAR(D$5),MONTH(D$5)+1,1)))</f>
        <v/>
      </c>
      <c r="E17" s="46" t="str">
        <f aca="false">IF($B17="","",SUMIFS(入力!$C$5:$C$1004,入力!$B$5:$B$1004,$B17,入力!$A$5:$A$1004,"&gt;="&amp;E$5,入力!$A$5:$A$1004,"&lt;"&amp;DATE(YEAR(E$5),MONTH(E$5)+1,1)))</f>
        <v/>
      </c>
      <c r="F17" s="46" t="str">
        <f aca="false">IF($B17="","",SUMIFS(入力!$C$5:$C$1004,入力!$B$5:$B$1004,$B17,入力!$A$5:$A$1004,"&gt;="&amp;F$5,入力!$A$5:$A$1004,"&lt;"&amp;DATE(YEAR(F$5),MONTH(F$5)+1,1)))</f>
        <v/>
      </c>
      <c r="G17" s="46" t="str">
        <f aca="false">IF($B17="","",SUMIFS(入力!$C$5:$C$1004,入力!$B$5:$B$1004,$B17,入力!$A$5:$A$1004,"&gt;="&amp;G$5,入力!$A$5:$A$1004,"&lt;"&amp;DATE(YEAR(G$5),MONTH(G$5)+1,1)))</f>
        <v/>
      </c>
      <c r="H17" s="46" t="str">
        <f aca="false">IF($B17="","",SUMIFS(入力!$C$5:$C$1004,入力!$B$5:$B$1004,$B17,入力!$A$5:$A$1004,"&gt;="&amp;H$5,入力!$A$5:$A$1004,"&lt;"&amp;DATE(YEAR(H$5),MONTH(H$5)+1,1)))</f>
        <v/>
      </c>
      <c r="I17" s="46" t="str">
        <f aca="false">IF($B17="","",SUMIFS(入力!$C$5:$C$1004,入力!$B$5:$B$1004,$B17,入力!$A$5:$A$1004,"&gt;="&amp;I$5,入力!$A$5:$A$1004,"&lt;"&amp;DATE(YEAR(I$5),MONTH(I$5)+1,1)))</f>
        <v/>
      </c>
      <c r="J17" s="46" t="str">
        <f aca="false">IF($B17="","",SUMIFS(入力!$C$5:$C$1004,入力!$B$5:$B$1004,$B17,入力!$A$5:$A$1004,"&gt;="&amp;J$5,入力!$A$5:$A$1004,"&lt;"&amp;DATE(YEAR(J$5),MONTH(J$5)+1,1)))</f>
        <v/>
      </c>
      <c r="K17" s="46" t="str">
        <f aca="false">IF($B17="","",SUMIFS(入力!$C$5:$C$1004,入力!$B$5:$B$1004,$B17,入力!$A$5:$A$1004,"&gt;="&amp;K$5,入力!$A$5:$A$1004,"&lt;"&amp;DATE(YEAR(K$5),MONTH(K$5)+1,1)))</f>
        <v/>
      </c>
      <c r="L17" s="46" t="str">
        <f aca="false">IF($B17="","",SUMIFS(入力!$C$5:$C$1004,入力!$B$5:$B$1004,$B17,入力!$A$5:$A$1004,"&gt;="&amp;L$5,入力!$A$5:$A$1004,"&lt;"&amp;DATE(YEAR(L$5),MONTH(L$5)+1,1)))</f>
        <v/>
      </c>
      <c r="M17" s="46" t="str">
        <f aca="false">IF($B17="","",SUMIFS(入力!$C$5:$C$1004,入力!$B$5:$B$1004,$B17,入力!$A$5:$A$1004,"&gt;="&amp;M$5,入力!$A$5:$A$1004,"&lt;"&amp;DATE(YEAR(M$5),MONTH(M$5)+1,1)))</f>
        <v/>
      </c>
      <c r="N17" s="46" t="str">
        <f aca="false">IF($B17="","",SUMIFS(入力!$C$5:$C$1004,入力!$B$5:$B$1004,$B17,入力!$A$5:$A$1004,"&gt;="&amp;N$5,入力!$A$5:$A$1004,"&lt;"&amp;DATE(YEAR(N$5),MONTH(N$5)+1,1)))</f>
        <v/>
      </c>
      <c r="O17" s="47" t="str">
        <f aca="false">IF($B17="","",SUM(C17:N17))</f>
        <v/>
      </c>
    </row>
    <row r="18" customFormat="false" ht="15" hidden="false" customHeight="false" outlineLevel="0" collapsed="false">
      <c r="B18" s="5" t="str">
        <f aca="false">IF(設定!B27="","",設定!B27)</f>
        <v/>
      </c>
      <c r="C18" s="46" t="str">
        <f aca="false">IF($B18="","",SUMIFS(入力!$C$5:$C$1004,入力!$B$5:$B$1004,$B18,入力!$A$5:$A$1004,"&gt;="&amp;C$5,入力!$A$5:$A$1004,"&lt;"&amp;DATE(YEAR(C$5),MONTH(C$5)+1,1)))</f>
        <v/>
      </c>
      <c r="D18" s="46" t="str">
        <f aca="false">IF($B18="","",SUMIFS(入力!$C$5:$C$1004,入力!$B$5:$B$1004,$B18,入力!$A$5:$A$1004,"&gt;="&amp;D$5,入力!$A$5:$A$1004,"&lt;"&amp;DATE(YEAR(D$5),MONTH(D$5)+1,1)))</f>
        <v/>
      </c>
      <c r="E18" s="46" t="str">
        <f aca="false">IF($B18="","",SUMIFS(入力!$C$5:$C$1004,入力!$B$5:$B$1004,$B18,入力!$A$5:$A$1004,"&gt;="&amp;E$5,入力!$A$5:$A$1004,"&lt;"&amp;DATE(YEAR(E$5),MONTH(E$5)+1,1)))</f>
        <v/>
      </c>
      <c r="F18" s="46" t="str">
        <f aca="false">IF($B18="","",SUMIFS(入力!$C$5:$C$1004,入力!$B$5:$B$1004,$B18,入力!$A$5:$A$1004,"&gt;="&amp;F$5,入力!$A$5:$A$1004,"&lt;"&amp;DATE(YEAR(F$5),MONTH(F$5)+1,1)))</f>
        <v/>
      </c>
      <c r="G18" s="46" t="str">
        <f aca="false">IF($B18="","",SUMIFS(入力!$C$5:$C$1004,入力!$B$5:$B$1004,$B18,入力!$A$5:$A$1004,"&gt;="&amp;G$5,入力!$A$5:$A$1004,"&lt;"&amp;DATE(YEAR(G$5),MONTH(G$5)+1,1)))</f>
        <v/>
      </c>
      <c r="H18" s="46" t="str">
        <f aca="false">IF($B18="","",SUMIFS(入力!$C$5:$C$1004,入力!$B$5:$B$1004,$B18,入力!$A$5:$A$1004,"&gt;="&amp;H$5,入力!$A$5:$A$1004,"&lt;"&amp;DATE(YEAR(H$5),MONTH(H$5)+1,1)))</f>
        <v/>
      </c>
      <c r="I18" s="46" t="str">
        <f aca="false">IF($B18="","",SUMIFS(入力!$C$5:$C$1004,入力!$B$5:$B$1004,$B18,入力!$A$5:$A$1004,"&gt;="&amp;I$5,入力!$A$5:$A$1004,"&lt;"&amp;DATE(YEAR(I$5),MONTH(I$5)+1,1)))</f>
        <v/>
      </c>
      <c r="J18" s="46" t="str">
        <f aca="false">IF($B18="","",SUMIFS(入力!$C$5:$C$1004,入力!$B$5:$B$1004,$B18,入力!$A$5:$A$1004,"&gt;="&amp;J$5,入力!$A$5:$A$1004,"&lt;"&amp;DATE(YEAR(J$5),MONTH(J$5)+1,1)))</f>
        <v/>
      </c>
      <c r="K18" s="46" t="str">
        <f aca="false">IF($B18="","",SUMIFS(入力!$C$5:$C$1004,入力!$B$5:$B$1004,$B18,入力!$A$5:$A$1004,"&gt;="&amp;K$5,入力!$A$5:$A$1004,"&lt;"&amp;DATE(YEAR(K$5),MONTH(K$5)+1,1)))</f>
        <v/>
      </c>
      <c r="L18" s="46" t="str">
        <f aca="false">IF($B18="","",SUMIFS(入力!$C$5:$C$1004,入力!$B$5:$B$1004,$B18,入力!$A$5:$A$1004,"&gt;="&amp;L$5,入力!$A$5:$A$1004,"&lt;"&amp;DATE(YEAR(L$5),MONTH(L$5)+1,1)))</f>
        <v/>
      </c>
      <c r="M18" s="46" t="str">
        <f aca="false">IF($B18="","",SUMIFS(入力!$C$5:$C$1004,入力!$B$5:$B$1004,$B18,入力!$A$5:$A$1004,"&gt;="&amp;M$5,入力!$A$5:$A$1004,"&lt;"&amp;DATE(YEAR(M$5),MONTH(M$5)+1,1)))</f>
        <v/>
      </c>
      <c r="N18" s="46" t="str">
        <f aca="false">IF($B18="","",SUMIFS(入力!$C$5:$C$1004,入力!$B$5:$B$1004,$B18,入力!$A$5:$A$1004,"&gt;="&amp;N$5,入力!$A$5:$A$1004,"&lt;"&amp;DATE(YEAR(N$5),MONTH(N$5)+1,1)))</f>
        <v/>
      </c>
      <c r="O18" s="47" t="str">
        <f aca="false">IF($B18="","",SUM(C18:N18))</f>
        <v/>
      </c>
    </row>
    <row r="19" customFormat="false" ht="15" hidden="false" customHeight="false" outlineLevel="0" collapsed="false">
      <c r="B19" s="5" t="str">
        <f aca="false">IF(設定!B28="","",設定!B28)</f>
        <v/>
      </c>
      <c r="C19" s="46" t="str">
        <f aca="false">IF($B19="","",SUMIFS(入力!$C$5:$C$1004,入力!$B$5:$B$1004,$B19,入力!$A$5:$A$1004,"&gt;="&amp;C$5,入力!$A$5:$A$1004,"&lt;"&amp;DATE(YEAR(C$5),MONTH(C$5)+1,1)))</f>
        <v/>
      </c>
      <c r="D19" s="46" t="str">
        <f aca="false">IF($B19="","",SUMIFS(入力!$C$5:$C$1004,入力!$B$5:$B$1004,$B19,入力!$A$5:$A$1004,"&gt;="&amp;D$5,入力!$A$5:$A$1004,"&lt;"&amp;DATE(YEAR(D$5),MONTH(D$5)+1,1)))</f>
        <v/>
      </c>
      <c r="E19" s="46" t="str">
        <f aca="false">IF($B19="","",SUMIFS(入力!$C$5:$C$1004,入力!$B$5:$B$1004,$B19,入力!$A$5:$A$1004,"&gt;="&amp;E$5,入力!$A$5:$A$1004,"&lt;"&amp;DATE(YEAR(E$5),MONTH(E$5)+1,1)))</f>
        <v/>
      </c>
      <c r="F19" s="46" t="str">
        <f aca="false">IF($B19="","",SUMIFS(入力!$C$5:$C$1004,入力!$B$5:$B$1004,$B19,入力!$A$5:$A$1004,"&gt;="&amp;F$5,入力!$A$5:$A$1004,"&lt;"&amp;DATE(YEAR(F$5),MONTH(F$5)+1,1)))</f>
        <v/>
      </c>
      <c r="G19" s="46" t="str">
        <f aca="false">IF($B19="","",SUMIFS(入力!$C$5:$C$1004,入力!$B$5:$B$1004,$B19,入力!$A$5:$A$1004,"&gt;="&amp;G$5,入力!$A$5:$A$1004,"&lt;"&amp;DATE(YEAR(G$5),MONTH(G$5)+1,1)))</f>
        <v/>
      </c>
      <c r="H19" s="46" t="str">
        <f aca="false">IF($B19="","",SUMIFS(入力!$C$5:$C$1004,入力!$B$5:$B$1004,$B19,入力!$A$5:$A$1004,"&gt;="&amp;H$5,入力!$A$5:$A$1004,"&lt;"&amp;DATE(YEAR(H$5),MONTH(H$5)+1,1)))</f>
        <v/>
      </c>
      <c r="I19" s="46" t="str">
        <f aca="false">IF($B19="","",SUMIFS(入力!$C$5:$C$1004,入力!$B$5:$B$1004,$B19,入力!$A$5:$A$1004,"&gt;="&amp;I$5,入力!$A$5:$A$1004,"&lt;"&amp;DATE(YEAR(I$5),MONTH(I$5)+1,1)))</f>
        <v/>
      </c>
      <c r="J19" s="46" t="str">
        <f aca="false">IF($B19="","",SUMIFS(入力!$C$5:$C$1004,入力!$B$5:$B$1004,$B19,入力!$A$5:$A$1004,"&gt;="&amp;J$5,入力!$A$5:$A$1004,"&lt;"&amp;DATE(YEAR(J$5),MONTH(J$5)+1,1)))</f>
        <v/>
      </c>
      <c r="K19" s="46" t="str">
        <f aca="false">IF($B19="","",SUMIFS(入力!$C$5:$C$1004,入力!$B$5:$B$1004,$B19,入力!$A$5:$A$1004,"&gt;="&amp;K$5,入力!$A$5:$A$1004,"&lt;"&amp;DATE(YEAR(K$5),MONTH(K$5)+1,1)))</f>
        <v/>
      </c>
      <c r="L19" s="46" t="str">
        <f aca="false">IF($B19="","",SUMIFS(入力!$C$5:$C$1004,入力!$B$5:$B$1004,$B19,入力!$A$5:$A$1004,"&gt;="&amp;L$5,入力!$A$5:$A$1004,"&lt;"&amp;DATE(YEAR(L$5),MONTH(L$5)+1,1)))</f>
        <v/>
      </c>
      <c r="M19" s="46" t="str">
        <f aca="false">IF($B19="","",SUMIFS(入力!$C$5:$C$1004,入力!$B$5:$B$1004,$B19,入力!$A$5:$A$1004,"&gt;="&amp;M$5,入力!$A$5:$A$1004,"&lt;"&amp;DATE(YEAR(M$5),MONTH(M$5)+1,1)))</f>
        <v/>
      </c>
      <c r="N19" s="46" t="str">
        <f aca="false">IF($B19="","",SUMIFS(入力!$C$5:$C$1004,入力!$B$5:$B$1004,$B19,入力!$A$5:$A$1004,"&gt;="&amp;N$5,入力!$A$5:$A$1004,"&lt;"&amp;DATE(YEAR(N$5),MONTH(N$5)+1,1)))</f>
        <v/>
      </c>
      <c r="O19" s="47" t="str">
        <f aca="false">IF($B19="","",SUM(C19:N19))</f>
        <v/>
      </c>
    </row>
    <row r="20" customFormat="false" ht="15" hidden="false" customHeight="false" outlineLevel="0" collapsed="false">
      <c r="B20" s="5" t="str">
        <f aca="false">IF(設定!B29="","",設定!B29)</f>
        <v/>
      </c>
      <c r="C20" s="46" t="str">
        <f aca="false">IF($B20="","",SUMIFS(入力!$C$5:$C$1004,入力!$B$5:$B$1004,$B20,入力!$A$5:$A$1004,"&gt;="&amp;C$5,入力!$A$5:$A$1004,"&lt;"&amp;DATE(YEAR(C$5),MONTH(C$5)+1,1)))</f>
        <v/>
      </c>
      <c r="D20" s="46" t="str">
        <f aca="false">IF($B20="","",SUMIFS(入力!$C$5:$C$1004,入力!$B$5:$B$1004,$B20,入力!$A$5:$A$1004,"&gt;="&amp;D$5,入力!$A$5:$A$1004,"&lt;"&amp;DATE(YEAR(D$5),MONTH(D$5)+1,1)))</f>
        <v/>
      </c>
      <c r="E20" s="46" t="str">
        <f aca="false">IF($B20="","",SUMIFS(入力!$C$5:$C$1004,入力!$B$5:$B$1004,$B20,入力!$A$5:$A$1004,"&gt;="&amp;E$5,入力!$A$5:$A$1004,"&lt;"&amp;DATE(YEAR(E$5),MONTH(E$5)+1,1)))</f>
        <v/>
      </c>
      <c r="F20" s="46" t="str">
        <f aca="false">IF($B20="","",SUMIFS(入力!$C$5:$C$1004,入力!$B$5:$B$1004,$B20,入力!$A$5:$A$1004,"&gt;="&amp;F$5,入力!$A$5:$A$1004,"&lt;"&amp;DATE(YEAR(F$5),MONTH(F$5)+1,1)))</f>
        <v/>
      </c>
      <c r="G20" s="46" t="str">
        <f aca="false">IF($B20="","",SUMIFS(入力!$C$5:$C$1004,入力!$B$5:$B$1004,$B20,入力!$A$5:$A$1004,"&gt;="&amp;G$5,入力!$A$5:$A$1004,"&lt;"&amp;DATE(YEAR(G$5),MONTH(G$5)+1,1)))</f>
        <v/>
      </c>
      <c r="H20" s="46" t="str">
        <f aca="false">IF($B20="","",SUMIFS(入力!$C$5:$C$1004,入力!$B$5:$B$1004,$B20,入力!$A$5:$A$1004,"&gt;="&amp;H$5,入力!$A$5:$A$1004,"&lt;"&amp;DATE(YEAR(H$5),MONTH(H$5)+1,1)))</f>
        <v/>
      </c>
      <c r="I20" s="46" t="str">
        <f aca="false">IF($B20="","",SUMIFS(入力!$C$5:$C$1004,入力!$B$5:$B$1004,$B20,入力!$A$5:$A$1004,"&gt;="&amp;I$5,入力!$A$5:$A$1004,"&lt;"&amp;DATE(YEAR(I$5),MONTH(I$5)+1,1)))</f>
        <v/>
      </c>
      <c r="J20" s="46" t="str">
        <f aca="false">IF($B20="","",SUMIFS(入力!$C$5:$C$1004,入力!$B$5:$B$1004,$B20,入力!$A$5:$A$1004,"&gt;="&amp;J$5,入力!$A$5:$A$1004,"&lt;"&amp;DATE(YEAR(J$5),MONTH(J$5)+1,1)))</f>
        <v/>
      </c>
      <c r="K20" s="46" t="str">
        <f aca="false">IF($B20="","",SUMIFS(入力!$C$5:$C$1004,入力!$B$5:$B$1004,$B20,入力!$A$5:$A$1004,"&gt;="&amp;K$5,入力!$A$5:$A$1004,"&lt;"&amp;DATE(YEAR(K$5),MONTH(K$5)+1,1)))</f>
        <v/>
      </c>
      <c r="L20" s="46" t="str">
        <f aca="false">IF($B20="","",SUMIFS(入力!$C$5:$C$1004,入力!$B$5:$B$1004,$B20,入力!$A$5:$A$1004,"&gt;="&amp;L$5,入力!$A$5:$A$1004,"&lt;"&amp;DATE(YEAR(L$5),MONTH(L$5)+1,1)))</f>
        <v/>
      </c>
      <c r="M20" s="46" t="str">
        <f aca="false">IF($B20="","",SUMIFS(入力!$C$5:$C$1004,入力!$B$5:$B$1004,$B20,入力!$A$5:$A$1004,"&gt;="&amp;M$5,入力!$A$5:$A$1004,"&lt;"&amp;DATE(YEAR(M$5),MONTH(M$5)+1,1)))</f>
        <v/>
      </c>
      <c r="N20" s="46" t="str">
        <f aca="false">IF($B20="","",SUMIFS(入力!$C$5:$C$1004,入力!$B$5:$B$1004,$B20,入力!$A$5:$A$1004,"&gt;="&amp;N$5,入力!$A$5:$A$1004,"&lt;"&amp;DATE(YEAR(N$5),MONTH(N$5)+1,1)))</f>
        <v/>
      </c>
      <c r="O20" s="47" t="str">
        <f aca="false">IF($B20="","",SUM(C20:N20))</f>
        <v/>
      </c>
    </row>
    <row r="21" customFormat="false" ht="15" hidden="false" customHeight="false" outlineLevel="0" collapsed="false">
      <c r="B21" s="20" t="s">
        <v>76</v>
      </c>
      <c r="C21" s="48" t="n">
        <f aca="false">SUM(C6:C20)</f>
        <v>0</v>
      </c>
      <c r="D21" s="48" t="n">
        <f aca="false">SUM(D6:D20)</f>
        <v>0</v>
      </c>
      <c r="E21" s="48" t="n">
        <f aca="false">SUM(E6:E20)</f>
        <v>0</v>
      </c>
      <c r="F21" s="48" t="n">
        <f aca="false">SUM(F6:F20)</f>
        <v>0</v>
      </c>
      <c r="G21" s="48" t="n">
        <f aca="false">SUM(G6:G20)</f>
        <v>0</v>
      </c>
      <c r="H21" s="48" t="n">
        <f aca="false">SUM(H6:H20)</f>
        <v>0</v>
      </c>
      <c r="I21" s="48" t="n">
        <f aca="false">SUM(I6:I20)</f>
        <v>0</v>
      </c>
      <c r="J21" s="48" t="n">
        <f aca="false">SUM(J6:J20)</f>
        <v>0</v>
      </c>
      <c r="K21" s="48" t="n">
        <f aca="false">SUM(K6:K20)</f>
        <v>0</v>
      </c>
      <c r="L21" s="48" t="n">
        <f aca="false">SUM(L6:L20)</f>
        <v>0</v>
      </c>
      <c r="M21" s="48" t="n">
        <f aca="false">SUM(M6:M20)</f>
        <v>0</v>
      </c>
      <c r="N21" s="48" t="n">
        <f aca="false">SUM(N6:N20)</f>
        <v>0</v>
      </c>
      <c r="O21" s="48" t="n">
        <f aca="false">SUM(O6:O20)</f>
        <v>0</v>
      </c>
    </row>
    <row r="23" customFormat="false" ht="17.15" hidden="false" customHeight="true" outlineLevel="0" collapsed="false">
      <c r="B23" s="41" t="s">
        <v>123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customFormat="false" ht="15" hidden="false" customHeight="false" outlineLevel="0" collapsed="false">
      <c r="B24" s="15" t="s">
        <v>69</v>
      </c>
      <c r="C24" s="45" t="n">
        <f aca="false">C$5</f>
        <v>46023</v>
      </c>
      <c r="D24" s="45" t="n">
        <f aca="false">D$5</f>
        <v>46054</v>
      </c>
      <c r="E24" s="45" t="n">
        <f aca="false">E$5</f>
        <v>46082</v>
      </c>
      <c r="F24" s="45" t="n">
        <f aca="false">F$5</f>
        <v>46113</v>
      </c>
      <c r="G24" s="45" t="n">
        <f aca="false">G$5</f>
        <v>46143</v>
      </c>
      <c r="H24" s="45" t="n">
        <f aca="false">H$5</f>
        <v>46174</v>
      </c>
      <c r="I24" s="45" t="n">
        <f aca="false">I$5</f>
        <v>46204</v>
      </c>
      <c r="J24" s="45" t="n">
        <f aca="false">J$5</f>
        <v>46235</v>
      </c>
      <c r="K24" s="45" t="n">
        <f aca="false">K$5</f>
        <v>46266</v>
      </c>
      <c r="L24" s="45" t="n">
        <f aca="false">L$5</f>
        <v>46296</v>
      </c>
      <c r="M24" s="45" t="n">
        <f aca="false">M$5</f>
        <v>46327</v>
      </c>
      <c r="N24" s="45" t="n">
        <f aca="false">N$5</f>
        <v>46357</v>
      </c>
      <c r="O24" s="15" t="s">
        <v>76</v>
      </c>
    </row>
    <row r="25" customFormat="false" ht="15" hidden="false" customHeight="false" outlineLevel="0" collapsed="false">
      <c r="B25" s="5" t="str">
        <f aca="false">B6</f>
        <v>帰省・旅行</v>
      </c>
      <c r="C25" s="46" t="n">
        <f aca="false">IF(OR($B25="",N(設定!$D15)=0),"",IF(N(設定!$D15)=MONTH(C$24),N(設定!$C15),0))</f>
        <v>0</v>
      </c>
      <c r="D25" s="46" t="n">
        <f aca="false">IF(OR($B25="",N(設定!$D15)=0),"",IF(N(設定!$D15)=MONTH(D$24),N(設定!$C15),0))</f>
        <v>0</v>
      </c>
      <c r="E25" s="46" t="n">
        <f aca="false">IF(OR($B25="",N(設定!$D15)=0),"",IF(N(設定!$D15)=MONTH(E$24),N(設定!$C15),0))</f>
        <v>0</v>
      </c>
      <c r="F25" s="46" t="n">
        <f aca="false">IF(OR($B25="",N(設定!$D15)=0),"",IF(N(設定!$D15)=MONTH(F$24),N(設定!$C15),0))</f>
        <v>0</v>
      </c>
      <c r="G25" s="46" t="n">
        <f aca="false">IF(OR($B25="",N(設定!$D15)=0),"",IF(N(設定!$D15)=MONTH(G$24),N(設定!$C15),0))</f>
        <v>0</v>
      </c>
      <c r="H25" s="46" t="n">
        <f aca="false">IF(OR($B25="",N(設定!$D15)=0),"",IF(N(設定!$D15)=MONTH(H$24),N(設定!$C15),0))</f>
        <v>0</v>
      </c>
      <c r="I25" s="46" t="n">
        <f aca="false">IF(OR($B25="",N(設定!$D15)=0),"",IF(N(設定!$D15)=MONTH(I$24),N(設定!$C15),0))</f>
        <v>0</v>
      </c>
      <c r="J25" s="46" t="n">
        <f aca="false">IF(OR($B25="",N(設定!$D15)=0),"",IF(N(設定!$D15)=MONTH(J$24),N(設定!$C15),0))</f>
        <v>80000</v>
      </c>
      <c r="K25" s="46" t="n">
        <f aca="false">IF(OR($B25="",N(設定!$D15)=0),"",IF(N(設定!$D15)=MONTH(K$24),N(設定!$C15),0))</f>
        <v>0</v>
      </c>
      <c r="L25" s="46" t="n">
        <f aca="false">IF(OR($B25="",N(設定!$D15)=0),"",IF(N(設定!$D15)=MONTH(L$24),N(設定!$C15),0))</f>
        <v>0</v>
      </c>
      <c r="M25" s="46" t="n">
        <f aca="false">IF(OR($B25="",N(設定!$D15)=0),"",IF(N(設定!$D15)=MONTH(M$24),N(設定!$C15),0))</f>
        <v>0</v>
      </c>
      <c r="N25" s="46" t="n">
        <f aca="false">IF(OR($B25="",N(設定!$D15)=0),"",IF(N(設定!$D15)=MONTH(N$24),N(設定!$C15),0))</f>
        <v>0</v>
      </c>
      <c r="O25" s="47" t="n">
        <f aca="false">IF($B25="","",SUM(C25:N25))</f>
        <v>80000</v>
      </c>
    </row>
    <row r="26" customFormat="false" ht="15" hidden="false" customHeight="false" outlineLevel="0" collapsed="false">
      <c r="B26" s="5" t="str">
        <f aca="false">B7</f>
        <v>冠婚葬祭（ご祝儀・香典）</v>
      </c>
      <c r="C26" s="46" t="n">
        <f aca="false">IF(OR($B26="",N(設定!$D16)=0),"",IF(N(設定!$D16)=MONTH(C$24),N(設定!$C16),0))</f>
        <v>0</v>
      </c>
      <c r="D26" s="46" t="n">
        <f aca="false">IF(OR($B26="",N(設定!$D16)=0),"",IF(N(設定!$D16)=MONTH(D$24),N(設定!$C16),0))</f>
        <v>0</v>
      </c>
      <c r="E26" s="46" t="n">
        <f aca="false">IF(OR($B26="",N(設定!$D16)=0),"",IF(N(設定!$D16)=MONTH(E$24),N(設定!$C16),0))</f>
        <v>0</v>
      </c>
      <c r="F26" s="46" t="n">
        <f aca="false">IF(OR($B26="",N(設定!$D16)=0),"",IF(N(設定!$D16)=MONTH(F$24),N(設定!$C16),0))</f>
        <v>0</v>
      </c>
      <c r="G26" s="46" t="n">
        <f aca="false">IF(OR($B26="",N(設定!$D16)=0),"",IF(N(設定!$D16)=MONTH(G$24),N(設定!$C16),0))</f>
        <v>0</v>
      </c>
      <c r="H26" s="46" t="n">
        <f aca="false">IF(OR($B26="",N(設定!$D16)=0),"",IF(N(設定!$D16)=MONTH(H$24),N(設定!$C16),0))</f>
        <v>60000</v>
      </c>
      <c r="I26" s="46" t="n">
        <f aca="false">IF(OR($B26="",N(設定!$D16)=0),"",IF(N(設定!$D16)=MONTH(I$24),N(設定!$C16),0))</f>
        <v>0</v>
      </c>
      <c r="J26" s="46" t="n">
        <f aca="false">IF(OR($B26="",N(設定!$D16)=0),"",IF(N(設定!$D16)=MONTH(J$24),N(設定!$C16),0))</f>
        <v>0</v>
      </c>
      <c r="K26" s="46" t="n">
        <f aca="false">IF(OR($B26="",N(設定!$D16)=0),"",IF(N(設定!$D16)=MONTH(K$24),N(設定!$C16),0))</f>
        <v>0</v>
      </c>
      <c r="L26" s="46" t="n">
        <f aca="false">IF(OR($B26="",N(設定!$D16)=0),"",IF(N(設定!$D16)=MONTH(L$24),N(設定!$C16),0))</f>
        <v>0</v>
      </c>
      <c r="M26" s="46" t="n">
        <f aca="false">IF(OR($B26="",N(設定!$D16)=0),"",IF(N(設定!$D16)=MONTH(M$24),N(設定!$C16),0))</f>
        <v>0</v>
      </c>
      <c r="N26" s="46" t="n">
        <f aca="false">IF(OR($B26="",N(設定!$D16)=0),"",IF(N(設定!$D16)=MONTH(N$24),N(設定!$C16),0))</f>
        <v>0</v>
      </c>
      <c r="O26" s="47" t="n">
        <f aca="false">IF($B26="","",SUM(C26:N26))</f>
        <v>60000</v>
      </c>
    </row>
    <row r="27" customFormat="false" ht="15" hidden="false" customHeight="false" outlineLevel="0" collapsed="false">
      <c r="B27" s="5" t="str">
        <f aca="false">B8</f>
        <v>誕生日・記念日</v>
      </c>
      <c r="C27" s="46" t="n">
        <f aca="false">IF(OR($B27="",N(設定!$D17)=0),"",IF(N(設定!$D17)=MONTH(C$24),N(設定!$C17),0))</f>
        <v>0</v>
      </c>
      <c r="D27" s="46" t="n">
        <f aca="false">IF(OR($B27="",N(設定!$D17)=0),"",IF(N(設定!$D17)=MONTH(D$24),N(設定!$C17),0))</f>
        <v>0</v>
      </c>
      <c r="E27" s="46" t="n">
        <f aca="false">IF(OR($B27="",N(設定!$D17)=0),"",IF(N(設定!$D17)=MONTH(E$24),N(設定!$C17),0))</f>
        <v>30000</v>
      </c>
      <c r="F27" s="46" t="n">
        <f aca="false">IF(OR($B27="",N(設定!$D17)=0),"",IF(N(設定!$D17)=MONTH(F$24),N(設定!$C17),0))</f>
        <v>0</v>
      </c>
      <c r="G27" s="46" t="n">
        <f aca="false">IF(OR($B27="",N(設定!$D17)=0),"",IF(N(設定!$D17)=MONTH(G$24),N(設定!$C17),0))</f>
        <v>0</v>
      </c>
      <c r="H27" s="46" t="n">
        <f aca="false">IF(OR($B27="",N(設定!$D17)=0),"",IF(N(設定!$D17)=MONTH(H$24),N(設定!$C17),0))</f>
        <v>0</v>
      </c>
      <c r="I27" s="46" t="n">
        <f aca="false">IF(OR($B27="",N(設定!$D17)=0),"",IF(N(設定!$D17)=MONTH(I$24),N(設定!$C17),0))</f>
        <v>0</v>
      </c>
      <c r="J27" s="46" t="n">
        <f aca="false">IF(OR($B27="",N(設定!$D17)=0),"",IF(N(設定!$D17)=MONTH(J$24),N(設定!$C17),0))</f>
        <v>0</v>
      </c>
      <c r="K27" s="46" t="n">
        <f aca="false">IF(OR($B27="",N(設定!$D17)=0),"",IF(N(設定!$D17)=MONTH(K$24),N(設定!$C17),0))</f>
        <v>0</v>
      </c>
      <c r="L27" s="46" t="n">
        <f aca="false">IF(OR($B27="",N(設定!$D17)=0),"",IF(N(設定!$D17)=MONTH(L$24),N(設定!$C17),0))</f>
        <v>0</v>
      </c>
      <c r="M27" s="46" t="n">
        <f aca="false">IF(OR($B27="",N(設定!$D17)=0),"",IF(N(設定!$D17)=MONTH(M$24),N(設定!$C17),0))</f>
        <v>0</v>
      </c>
      <c r="N27" s="46" t="n">
        <f aca="false">IF(OR($B27="",N(設定!$D17)=0),"",IF(N(設定!$D17)=MONTH(N$24),N(設定!$C17),0))</f>
        <v>0</v>
      </c>
      <c r="O27" s="47" t="n">
        <f aca="false">IF($B27="","",SUM(C27:N27))</f>
        <v>30000</v>
      </c>
    </row>
    <row r="28" customFormat="false" ht="15" hidden="false" customHeight="false" outlineLevel="0" collapsed="false">
      <c r="B28" s="5" t="str">
        <f aca="false">B9</f>
        <v>クリスマス・年末年始</v>
      </c>
      <c r="C28" s="46" t="n">
        <f aca="false">IF(OR($B28="",N(設定!$D18)=0),"",IF(N(設定!$D18)=MONTH(C$24),N(設定!$C18),0))</f>
        <v>0</v>
      </c>
      <c r="D28" s="46" t="n">
        <f aca="false">IF(OR($B28="",N(設定!$D18)=0),"",IF(N(設定!$D18)=MONTH(D$24),N(設定!$C18),0))</f>
        <v>0</v>
      </c>
      <c r="E28" s="46" t="n">
        <f aca="false">IF(OR($B28="",N(設定!$D18)=0),"",IF(N(設定!$D18)=MONTH(E$24),N(設定!$C18),0))</f>
        <v>0</v>
      </c>
      <c r="F28" s="46" t="n">
        <f aca="false">IF(OR($B28="",N(設定!$D18)=0),"",IF(N(設定!$D18)=MONTH(F$24),N(設定!$C18),0))</f>
        <v>0</v>
      </c>
      <c r="G28" s="46" t="n">
        <f aca="false">IF(OR($B28="",N(設定!$D18)=0),"",IF(N(設定!$D18)=MONTH(G$24),N(設定!$C18),0))</f>
        <v>0</v>
      </c>
      <c r="H28" s="46" t="n">
        <f aca="false">IF(OR($B28="",N(設定!$D18)=0),"",IF(N(設定!$D18)=MONTH(H$24),N(設定!$C18),0))</f>
        <v>0</v>
      </c>
      <c r="I28" s="46" t="n">
        <f aca="false">IF(OR($B28="",N(設定!$D18)=0),"",IF(N(設定!$D18)=MONTH(I$24),N(設定!$C18),0))</f>
        <v>0</v>
      </c>
      <c r="J28" s="46" t="n">
        <f aca="false">IF(OR($B28="",N(設定!$D18)=0),"",IF(N(設定!$D18)=MONTH(J$24),N(設定!$C18),0))</f>
        <v>0</v>
      </c>
      <c r="K28" s="46" t="n">
        <f aca="false">IF(OR($B28="",N(設定!$D18)=0),"",IF(N(設定!$D18)=MONTH(K$24),N(設定!$C18),0))</f>
        <v>0</v>
      </c>
      <c r="L28" s="46" t="n">
        <f aca="false">IF(OR($B28="",N(設定!$D18)=0),"",IF(N(設定!$D18)=MONTH(L$24),N(設定!$C18),0))</f>
        <v>0</v>
      </c>
      <c r="M28" s="46" t="n">
        <f aca="false">IF(OR($B28="",N(設定!$D18)=0),"",IF(N(設定!$D18)=MONTH(M$24),N(設定!$C18),0))</f>
        <v>0</v>
      </c>
      <c r="N28" s="46" t="n">
        <f aca="false">IF(OR($B28="",N(設定!$D18)=0),"",IF(N(設定!$D18)=MONTH(N$24),N(設定!$C18),0))</f>
        <v>40000</v>
      </c>
      <c r="O28" s="47" t="n">
        <f aca="false">IF($B28="","",SUM(C28:N28))</f>
        <v>40000</v>
      </c>
    </row>
    <row r="29" customFormat="false" ht="15" hidden="false" customHeight="false" outlineLevel="0" collapsed="false">
      <c r="B29" s="5" t="str">
        <f aca="false">B10</f>
        <v>お中元・お歳暮</v>
      </c>
      <c r="C29" s="46" t="n">
        <f aca="false">IF(OR($B29="",N(設定!$D19)=0),"",IF(N(設定!$D19)=MONTH(C$24),N(設定!$C19),0))</f>
        <v>0</v>
      </c>
      <c r="D29" s="46" t="n">
        <f aca="false">IF(OR($B29="",N(設定!$D19)=0),"",IF(N(設定!$D19)=MONTH(D$24),N(設定!$C19),0))</f>
        <v>0</v>
      </c>
      <c r="E29" s="46" t="n">
        <f aca="false">IF(OR($B29="",N(設定!$D19)=0),"",IF(N(設定!$D19)=MONTH(E$24),N(設定!$C19),0))</f>
        <v>0</v>
      </c>
      <c r="F29" s="46" t="n">
        <f aca="false">IF(OR($B29="",N(設定!$D19)=0),"",IF(N(設定!$D19)=MONTH(F$24),N(設定!$C19),0))</f>
        <v>0</v>
      </c>
      <c r="G29" s="46" t="n">
        <f aca="false">IF(OR($B29="",N(設定!$D19)=0),"",IF(N(設定!$D19)=MONTH(G$24),N(設定!$C19),0))</f>
        <v>0</v>
      </c>
      <c r="H29" s="46" t="n">
        <f aca="false">IF(OR($B29="",N(設定!$D19)=0),"",IF(N(設定!$D19)=MONTH(H$24),N(設定!$C19),0))</f>
        <v>0</v>
      </c>
      <c r="I29" s="46" t="n">
        <f aca="false">IF(OR($B29="",N(設定!$D19)=0),"",IF(N(設定!$D19)=MONTH(I$24),N(設定!$C19),0))</f>
        <v>20000</v>
      </c>
      <c r="J29" s="46" t="n">
        <f aca="false">IF(OR($B29="",N(設定!$D19)=0),"",IF(N(設定!$D19)=MONTH(J$24),N(設定!$C19),0))</f>
        <v>0</v>
      </c>
      <c r="K29" s="46" t="n">
        <f aca="false">IF(OR($B29="",N(設定!$D19)=0),"",IF(N(設定!$D19)=MONTH(K$24),N(設定!$C19),0))</f>
        <v>0</v>
      </c>
      <c r="L29" s="46" t="n">
        <f aca="false">IF(OR($B29="",N(設定!$D19)=0),"",IF(N(設定!$D19)=MONTH(L$24),N(設定!$C19),0))</f>
        <v>0</v>
      </c>
      <c r="M29" s="46" t="n">
        <f aca="false">IF(OR($B29="",N(設定!$D19)=0),"",IF(N(設定!$D19)=MONTH(M$24),N(設定!$C19),0))</f>
        <v>0</v>
      </c>
      <c r="N29" s="46" t="n">
        <f aca="false">IF(OR($B29="",N(設定!$D19)=0),"",IF(N(設定!$D19)=MONTH(N$24),N(設定!$C19),0))</f>
        <v>0</v>
      </c>
      <c r="O29" s="47" t="n">
        <f aca="false">IF($B29="","",SUM(C29:N29))</f>
        <v>20000</v>
      </c>
    </row>
    <row r="30" customFormat="false" ht="15" hidden="false" customHeight="false" outlineLevel="0" collapsed="false">
      <c r="B30" s="5" t="str">
        <f aca="false">B11</f>
        <v>美容（ヘア・ネイル）</v>
      </c>
      <c r="C30" s="46" t="str">
        <f aca="false">IF(OR($B30="",N(設定!$D20)=0),"",IF(N(設定!$D20)=MONTH(C$24),N(設定!$C20),0))</f>
        <v/>
      </c>
      <c r="D30" s="46" t="str">
        <f aca="false">IF(OR($B30="",N(設定!$D20)=0),"",IF(N(設定!$D20)=MONTH(D$24),N(設定!$C20),0))</f>
        <v/>
      </c>
      <c r="E30" s="46" t="str">
        <f aca="false">IF(OR($B30="",N(設定!$D20)=0),"",IF(N(設定!$D20)=MONTH(E$24),N(設定!$C20),0))</f>
        <v/>
      </c>
      <c r="F30" s="46" t="str">
        <f aca="false">IF(OR($B30="",N(設定!$D20)=0),"",IF(N(設定!$D20)=MONTH(F$24),N(設定!$C20),0))</f>
        <v/>
      </c>
      <c r="G30" s="46" t="str">
        <f aca="false">IF(OR($B30="",N(設定!$D20)=0),"",IF(N(設定!$D20)=MONTH(G$24),N(設定!$C20),0))</f>
        <v/>
      </c>
      <c r="H30" s="46" t="str">
        <f aca="false">IF(OR($B30="",N(設定!$D20)=0),"",IF(N(設定!$D20)=MONTH(H$24),N(設定!$C20),0))</f>
        <v/>
      </c>
      <c r="I30" s="46" t="str">
        <f aca="false">IF(OR($B30="",N(設定!$D20)=0),"",IF(N(設定!$D20)=MONTH(I$24),N(設定!$C20),0))</f>
        <v/>
      </c>
      <c r="J30" s="46" t="str">
        <f aca="false">IF(OR($B30="",N(設定!$D20)=0),"",IF(N(設定!$D20)=MONTH(J$24),N(設定!$C20),0))</f>
        <v/>
      </c>
      <c r="K30" s="46" t="str">
        <f aca="false">IF(OR($B30="",N(設定!$D20)=0),"",IF(N(設定!$D20)=MONTH(K$24),N(設定!$C20),0))</f>
        <v/>
      </c>
      <c r="L30" s="46" t="str">
        <f aca="false">IF(OR($B30="",N(設定!$D20)=0),"",IF(N(設定!$D20)=MONTH(L$24),N(設定!$C20),0))</f>
        <v/>
      </c>
      <c r="M30" s="46" t="str">
        <f aca="false">IF(OR($B30="",N(設定!$D20)=0),"",IF(N(設定!$D20)=MONTH(M$24),N(設定!$C20),0))</f>
        <v/>
      </c>
      <c r="N30" s="46" t="str">
        <f aca="false">IF(OR($B30="",N(設定!$D20)=0),"",IF(N(設定!$D20)=MONTH(N$24),N(設定!$C20),0))</f>
        <v/>
      </c>
      <c r="O30" s="47" t="n">
        <f aca="false">IF($B30="","",SUM(C30:N30))</f>
        <v>0</v>
      </c>
    </row>
    <row r="31" customFormat="false" ht="15" hidden="false" customHeight="false" outlineLevel="0" collapsed="false">
      <c r="B31" s="5" t="str">
        <f aca="false">B12</f>
        <v>推し活・イベント</v>
      </c>
      <c r="C31" s="46" t="n">
        <f aca="false">IF(OR($B31="",N(設定!$D21)=0),"",IF(N(設定!$D21)=MONTH(C$24),N(設定!$C21),0))</f>
        <v>0</v>
      </c>
      <c r="D31" s="46" t="n">
        <f aca="false">IF(OR($B31="",N(設定!$D21)=0),"",IF(N(設定!$D21)=MONTH(D$24),N(設定!$C21),0))</f>
        <v>0</v>
      </c>
      <c r="E31" s="46" t="n">
        <f aca="false">IF(OR($B31="",N(設定!$D21)=0),"",IF(N(設定!$D21)=MONTH(E$24),N(設定!$C21),0))</f>
        <v>0</v>
      </c>
      <c r="F31" s="46" t="n">
        <f aca="false">IF(OR($B31="",N(設定!$D21)=0),"",IF(N(設定!$D21)=MONTH(F$24),N(設定!$C21),0))</f>
        <v>0</v>
      </c>
      <c r="G31" s="46" t="n">
        <f aca="false">IF(OR($B31="",N(設定!$D21)=0),"",IF(N(設定!$D21)=MONTH(G$24),N(設定!$C21),0))</f>
        <v>0</v>
      </c>
      <c r="H31" s="46" t="n">
        <f aca="false">IF(OR($B31="",N(設定!$D21)=0),"",IF(N(設定!$D21)=MONTH(H$24),N(設定!$C21),0))</f>
        <v>0</v>
      </c>
      <c r="I31" s="46" t="n">
        <f aca="false">IF(OR($B31="",N(設定!$D21)=0),"",IF(N(設定!$D21)=MONTH(I$24),N(設定!$C21),0))</f>
        <v>0</v>
      </c>
      <c r="J31" s="46" t="n">
        <f aca="false">IF(OR($B31="",N(設定!$D21)=0),"",IF(N(設定!$D21)=MONTH(J$24),N(設定!$C21),0))</f>
        <v>0</v>
      </c>
      <c r="K31" s="46" t="n">
        <f aca="false">IF(OR($B31="",N(設定!$D21)=0),"",IF(N(設定!$D21)=MONTH(K$24),N(設定!$C21),0))</f>
        <v>0</v>
      </c>
      <c r="L31" s="46" t="n">
        <f aca="false">IF(OR($B31="",N(設定!$D21)=0),"",IF(N(設定!$D21)=MONTH(L$24),N(設定!$C21),0))</f>
        <v>50000</v>
      </c>
      <c r="M31" s="46" t="n">
        <f aca="false">IF(OR($B31="",N(設定!$D21)=0),"",IF(N(設定!$D21)=MONTH(M$24),N(設定!$C21),0))</f>
        <v>0</v>
      </c>
      <c r="N31" s="46" t="n">
        <f aca="false">IF(OR($B31="",N(設定!$D21)=0),"",IF(N(設定!$D21)=MONTH(N$24),N(設定!$C21),0))</f>
        <v>0</v>
      </c>
      <c r="O31" s="47" t="n">
        <f aca="false">IF($B31="","",SUM(C31:N31))</f>
        <v>50000</v>
      </c>
    </row>
    <row r="32" customFormat="false" ht="15" hidden="false" customHeight="false" outlineLevel="0" collapsed="false">
      <c r="B32" s="5" t="str">
        <f aca="false">B13</f>
        <v>家電・家具の買い替え</v>
      </c>
      <c r="C32" s="46" t="n">
        <f aca="false">IF(OR($B32="",N(設定!$D22)=0),"",IF(N(設定!$D22)=MONTH(C$24),N(設定!$C22),0))</f>
        <v>0</v>
      </c>
      <c r="D32" s="46" t="n">
        <f aca="false">IF(OR($B32="",N(設定!$D22)=0),"",IF(N(設定!$D22)=MONTH(D$24),N(設定!$C22),0))</f>
        <v>0</v>
      </c>
      <c r="E32" s="46" t="n">
        <f aca="false">IF(OR($B32="",N(設定!$D22)=0),"",IF(N(設定!$D22)=MONTH(E$24),N(設定!$C22),0))</f>
        <v>0</v>
      </c>
      <c r="F32" s="46" t="n">
        <f aca="false">IF(OR($B32="",N(設定!$D22)=0),"",IF(N(設定!$D22)=MONTH(F$24),N(設定!$C22),0))</f>
        <v>0</v>
      </c>
      <c r="G32" s="46" t="n">
        <f aca="false">IF(OR($B32="",N(設定!$D22)=0),"",IF(N(設定!$D22)=MONTH(G$24),N(設定!$C22),0))</f>
        <v>0</v>
      </c>
      <c r="H32" s="46" t="n">
        <f aca="false">IF(OR($B32="",N(設定!$D22)=0),"",IF(N(設定!$D22)=MONTH(H$24),N(設定!$C22),0))</f>
        <v>0</v>
      </c>
      <c r="I32" s="46" t="n">
        <f aca="false">IF(OR($B32="",N(設定!$D22)=0),"",IF(N(設定!$D22)=MONTH(I$24),N(設定!$C22),0))</f>
        <v>0</v>
      </c>
      <c r="J32" s="46" t="n">
        <f aca="false">IF(OR($B32="",N(設定!$D22)=0),"",IF(N(設定!$D22)=MONTH(J$24),N(設定!$C22),0))</f>
        <v>0</v>
      </c>
      <c r="K32" s="46" t="n">
        <f aca="false">IF(OR($B32="",N(設定!$D22)=0),"",IF(N(設定!$D22)=MONTH(K$24),N(設定!$C22),0))</f>
        <v>0</v>
      </c>
      <c r="L32" s="46" t="n">
        <f aca="false">IF(OR($B32="",N(設定!$D22)=0),"",IF(N(設定!$D22)=MONTH(L$24),N(設定!$C22),0))</f>
        <v>0</v>
      </c>
      <c r="M32" s="46" t="n">
        <f aca="false">IF(OR($B32="",N(設定!$D22)=0),"",IF(N(設定!$D22)=MONTH(M$24),N(設定!$C22),0))</f>
        <v>40000</v>
      </c>
      <c r="N32" s="46" t="n">
        <f aca="false">IF(OR($B32="",N(設定!$D22)=0),"",IF(N(設定!$D22)=MONTH(N$24),N(設定!$C22),0))</f>
        <v>0</v>
      </c>
      <c r="O32" s="47" t="n">
        <f aca="false">IF($B32="","",SUM(C32:N32))</f>
        <v>40000</v>
      </c>
    </row>
    <row r="33" customFormat="false" ht="15" hidden="false" customHeight="false" outlineLevel="0" collapsed="false">
      <c r="B33" s="5" t="str">
        <f aca="false">B14</f>
        <v>資格・習い事</v>
      </c>
      <c r="C33" s="46" t="n">
        <f aca="false">IF(OR($B33="",N(設定!$D23)=0),"",IF(N(設定!$D23)=MONTH(C$24),N(設定!$C23),0))</f>
        <v>0</v>
      </c>
      <c r="D33" s="46" t="n">
        <f aca="false">IF(OR($B33="",N(設定!$D23)=0),"",IF(N(設定!$D23)=MONTH(D$24),N(設定!$C23),0))</f>
        <v>0</v>
      </c>
      <c r="E33" s="46" t="n">
        <f aca="false">IF(OR($B33="",N(設定!$D23)=0),"",IF(N(設定!$D23)=MONTH(E$24),N(設定!$C23),0))</f>
        <v>0</v>
      </c>
      <c r="F33" s="46" t="n">
        <f aca="false">IF(OR($B33="",N(設定!$D23)=0),"",IF(N(設定!$D23)=MONTH(F$24),N(設定!$C23),0))</f>
        <v>30000</v>
      </c>
      <c r="G33" s="46" t="n">
        <f aca="false">IF(OR($B33="",N(設定!$D23)=0),"",IF(N(設定!$D23)=MONTH(G$24),N(設定!$C23),0))</f>
        <v>0</v>
      </c>
      <c r="H33" s="46" t="n">
        <f aca="false">IF(OR($B33="",N(設定!$D23)=0),"",IF(N(設定!$D23)=MONTH(H$24),N(設定!$C23),0))</f>
        <v>0</v>
      </c>
      <c r="I33" s="46" t="n">
        <f aca="false">IF(OR($B33="",N(設定!$D23)=0),"",IF(N(設定!$D23)=MONTH(I$24),N(設定!$C23),0))</f>
        <v>0</v>
      </c>
      <c r="J33" s="46" t="n">
        <f aca="false">IF(OR($B33="",N(設定!$D23)=0),"",IF(N(設定!$D23)=MONTH(J$24),N(設定!$C23),0))</f>
        <v>0</v>
      </c>
      <c r="K33" s="46" t="n">
        <f aca="false">IF(OR($B33="",N(設定!$D23)=0),"",IF(N(設定!$D23)=MONTH(K$24),N(設定!$C23),0))</f>
        <v>0</v>
      </c>
      <c r="L33" s="46" t="n">
        <f aca="false">IF(OR($B33="",N(設定!$D23)=0),"",IF(N(設定!$D23)=MONTH(L$24),N(設定!$C23),0))</f>
        <v>0</v>
      </c>
      <c r="M33" s="46" t="n">
        <f aca="false">IF(OR($B33="",N(設定!$D23)=0),"",IF(N(設定!$D23)=MONTH(M$24),N(設定!$C23),0))</f>
        <v>0</v>
      </c>
      <c r="N33" s="46" t="n">
        <f aca="false">IF(OR($B33="",N(設定!$D23)=0),"",IF(N(設定!$D23)=MONTH(N$24),N(設定!$C23),0))</f>
        <v>0</v>
      </c>
      <c r="O33" s="47" t="n">
        <f aca="false">IF($B33="","",SUM(C33:N33))</f>
        <v>30000</v>
      </c>
    </row>
    <row r="34" customFormat="false" ht="15" hidden="false" customHeight="false" outlineLevel="0" collapsed="false">
      <c r="B34" s="5" t="str">
        <f aca="false">B15</f>
        <v>年払い（保険・サブスク）</v>
      </c>
      <c r="C34" s="46" t="n">
        <f aca="false">IF(OR($B34="",N(設定!$D24)=0),"",IF(N(設定!$D24)=MONTH(C$24),N(設定!$C24),0))</f>
        <v>0</v>
      </c>
      <c r="D34" s="46" t="n">
        <f aca="false">IF(OR($B34="",N(設定!$D24)=0),"",IF(N(設定!$D24)=MONTH(D$24),N(設定!$C24),0))</f>
        <v>0</v>
      </c>
      <c r="E34" s="46" t="n">
        <f aca="false">IF(OR($B34="",N(設定!$D24)=0),"",IF(N(設定!$D24)=MONTH(E$24),N(設定!$C24),0))</f>
        <v>0</v>
      </c>
      <c r="F34" s="46" t="n">
        <f aca="false">IF(OR($B34="",N(設定!$D24)=0),"",IF(N(設定!$D24)=MONTH(F$24),N(設定!$C24),0))</f>
        <v>0</v>
      </c>
      <c r="G34" s="46" t="n">
        <f aca="false">IF(OR($B34="",N(設定!$D24)=0),"",IF(N(設定!$D24)=MONTH(G$24),N(設定!$C24),0))</f>
        <v>0</v>
      </c>
      <c r="H34" s="46" t="n">
        <f aca="false">IF(OR($B34="",N(設定!$D24)=0),"",IF(N(設定!$D24)=MONTH(H$24),N(設定!$C24),0))</f>
        <v>0</v>
      </c>
      <c r="I34" s="46" t="n">
        <f aca="false">IF(OR($B34="",N(設定!$D24)=0),"",IF(N(設定!$D24)=MONTH(I$24),N(設定!$C24),0))</f>
        <v>0</v>
      </c>
      <c r="J34" s="46" t="n">
        <f aca="false">IF(OR($B34="",N(設定!$D24)=0),"",IF(N(設定!$D24)=MONTH(J$24),N(設定!$C24),0))</f>
        <v>0</v>
      </c>
      <c r="K34" s="46" t="n">
        <f aca="false">IF(OR($B34="",N(設定!$D24)=0),"",IF(N(設定!$D24)=MONTH(K$24),N(設定!$C24),0))</f>
        <v>30000</v>
      </c>
      <c r="L34" s="46" t="n">
        <f aca="false">IF(OR($B34="",N(設定!$D24)=0),"",IF(N(設定!$D24)=MONTH(L$24),N(設定!$C24),0))</f>
        <v>0</v>
      </c>
      <c r="M34" s="46" t="n">
        <f aca="false">IF(OR($B34="",N(設定!$D24)=0),"",IF(N(設定!$D24)=MONTH(M$24),N(設定!$C24),0))</f>
        <v>0</v>
      </c>
      <c r="N34" s="46" t="n">
        <f aca="false">IF(OR($B34="",N(設定!$D24)=0),"",IF(N(設定!$D24)=MONTH(N$24),N(設定!$C24),0))</f>
        <v>0</v>
      </c>
      <c r="O34" s="47" t="n">
        <f aca="false">IF($B34="","",SUM(C34:N34))</f>
        <v>30000</v>
      </c>
    </row>
    <row r="35" customFormat="false" ht="15" hidden="false" customHeight="false" outlineLevel="0" collapsed="false">
      <c r="B35" s="5" t="str">
        <f aca="false">B16</f>
        <v>その他（予備費）</v>
      </c>
      <c r="C35" s="46" t="str">
        <f aca="false">IF(OR($B35="",N(設定!$D25)=0),"",IF(N(設定!$D25)=MONTH(C$24),N(設定!$C25),0))</f>
        <v/>
      </c>
      <c r="D35" s="46" t="str">
        <f aca="false">IF(OR($B35="",N(設定!$D25)=0),"",IF(N(設定!$D25)=MONTH(D$24),N(設定!$C25),0))</f>
        <v/>
      </c>
      <c r="E35" s="46" t="str">
        <f aca="false">IF(OR($B35="",N(設定!$D25)=0),"",IF(N(設定!$D25)=MONTH(E$24),N(設定!$C25),0))</f>
        <v/>
      </c>
      <c r="F35" s="46" t="str">
        <f aca="false">IF(OR($B35="",N(設定!$D25)=0),"",IF(N(設定!$D25)=MONTH(F$24),N(設定!$C25),0))</f>
        <v/>
      </c>
      <c r="G35" s="46" t="str">
        <f aca="false">IF(OR($B35="",N(設定!$D25)=0),"",IF(N(設定!$D25)=MONTH(G$24),N(設定!$C25),0))</f>
        <v/>
      </c>
      <c r="H35" s="46" t="str">
        <f aca="false">IF(OR($B35="",N(設定!$D25)=0),"",IF(N(設定!$D25)=MONTH(H$24),N(設定!$C25),0))</f>
        <v/>
      </c>
      <c r="I35" s="46" t="str">
        <f aca="false">IF(OR($B35="",N(設定!$D25)=0),"",IF(N(設定!$D25)=MONTH(I$24),N(設定!$C25),0))</f>
        <v/>
      </c>
      <c r="J35" s="46" t="str">
        <f aca="false">IF(OR($B35="",N(設定!$D25)=0),"",IF(N(設定!$D25)=MONTH(J$24),N(設定!$C25),0))</f>
        <v/>
      </c>
      <c r="K35" s="46" t="str">
        <f aca="false">IF(OR($B35="",N(設定!$D25)=0),"",IF(N(設定!$D25)=MONTH(K$24),N(設定!$C25),0))</f>
        <v/>
      </c>
      <c r="L35" s="46" t="str">
        <f aca="false">IF(OR($B35="",N(設定!$D25)=0),"",IF(N(設定!$D25)=MONTH(L$24),N(設定!$C25),0))</f>
        <v/>
      </c>
      <c r="M35" s="46" t="str">
        <f aca="false">IF(OR($B35="",N(設定!$D25)=0),"",IF(N(設定!$D25)=MONTH(M$24),N(設定!$C25),0))</f>
        <v/>
      </c>
      <c r="N35" s="46" t="str">
        <f aca="false">IF(OR($B35="",N(設定!$D25)=0),"",IF(N(設定!$D25)=MONTH(N$24),N(設定!$C25),0))</f>
        <v/>
      </c>
      <c r="O35" s="47" t="n">
        <f aca="false">IF($B35="","",SUM(C35:N35))</f>
        <v>0</v>
      </c>
    </row>
    <row r="36" customFormat="false" ht="15" hidden="false" customHeight="false" outlineLevel="0" collapsed="false">
      <c r="B36" s="5" t="str">
        <f aca="false">B17</f>
        <v/>
      </c>
      <c r="C36" s="46" t="str">
        <f aca="false">IF(OR($B36="",N(設定!$D26)=0),"",IF(N(設定!$D26)=MONTH(C$24),N(設定!$C26),0))</f>
        <v/>
      </c>
      <c r="D36" s="46" t="str">
        <f aca="false">IF(OR($B36="",N(設定!$D26)=0),"",IF(N(設定!$D26)=MONTH(D$24),N(設定!$C26),0))</f>
        <v/>
      </c>
      <c r="E36" s="46" t="str">
        <f aca="false">IF(OR($B36="",N(設定!$D26)=0),"",IF(N(設定!$D26)=MONTH(E$24),N(設定!$C26),0))</f>
        <v/>
      </c>
      <c r="F36" s="46" t="str">
        <f aca="false">IF(OR($B36="",N(設定!$D26)=0),"",IF(N(設定!$D26)=MONTH(F$24),N(設定!$C26),0))</f>
        <v/>
      </c>
      <c r="G36" s="46" t="str">
        <f aca="false">IF(OR($B36="",N(設定!$D26)=0),"",IF(N(設定!$D26)=MONTH(G$24),N(設定!$C26),0))</f>
        <v/>
      </c>
      <c r="H36" s="46" t="str">
        <f aca="false">IF(OR($B36="",N(設定!$D26)=0),"",IF(N(設定!$D26)=MONTH(H$24),N(設定!$C26),0))</f>
        <v/>
      </c>
      <c r="I36" s="46" t="str">
        <f aca="false">IF(OR($B36="",N(設定!$D26)=0),"",IF(N(設定!$D26)=MONTH(I$24),N(設定!$C26),0))</f>
        <v/>
      </c>
      <c r="J36" s="46" t="str">
        <f aca="false">IF(OR($B36="",N(設定!$D26)=0),"",IF(N(設定!$D26)=MONTH(J$24),N(設定!$C26),0))</f>
        <v/>
      </c>
      <c r="K36" s="46" t="str">
        <f aca="false">IF(OR($B36="",N(設定!$D26)=0),"",IF(N(設定!$D26)=MONTH(K$24),N(設定!$C26),0))</f>
        <v/>
      </c>
      <c r="L36" s="46" t="str">
        <f aca="false">IF(OR($B36="",N(設定!$D26)=0),"",IF(N(設定!$D26)=MONTH(L$24),N(設定!$C26),0))</f>
        <v/>
      </c>
      <c r="M36" s="46" t="str">
        <f aca="false">IF(OR($B36="",N(設定!$D26)=0),"",IF(N(設定!$D26)=MONTH(M$24),N(設定!$C26),0))</f>
        <v/>
      </c>
      <c r="N36" s="46" t="str">
        <f aca="false">IF(OR($B36="",N(設定!$D26)=0),"",IF(N(設定!$D26)=MONTH(N$24),N(設定!$C26),0))</f>
        <v/>
      </c>
      <c r="O36" s="47" t="str">
        <f aca="false">IF($B36="","",SUM(C36:N36))</f>
        <v/>
      </c>
    </row>
    <row r="37" customFormat="false" ht="15" hidden="false" customHeight="false" outlineLevel="0" collapsed="false">
      <c r="B37" s="5" t="str">
        <f aca="false">B18</f>
        <v/>
      </c>
      <c r="C37" s="46" t="str">
        <f aca="false">IF(OR($B37="",N(設定!$D27)=0),"",IF(N(設定!$D27)=MONTH(C$24),N(設定!$C27),0))</f>
        <v/>
      </c>
      <c r="D37" s="46" t="str">
        <f aca="false">IF(OR($B37="",N(設定!$D27)=0),"",IF(N(設定!$D27)=MONTH(D$24),N(設定!$C27),0))</f>
        <v/>
      </c>
      <c r="E37" s="46" t="str">
        <f aca="false">IF(OR($B37="",N(設定!$D27)=0),"",IF(N(設定!$D27)=MONTH(E$24),N(設定!$C27),0))</f>
        <v/>
      </c>
      <c r="F37" s="46" t="str">
        <f aca="false">IF(OR($B37="",N(設定!$D27)=0),"",IF(N(設定!$D27)=MONTH(F$24),N(設定!$C27),0))</f>
        <v/>
      </c>
      <c r="G37" s="46" t="str">
        <f aca="false">IF(OR($B37="",N(設定!$D27)=0),"",IF(N(設定!$D27)=MONTH(G$24),N(設定!$C27),0))</f>
        <v/>
      </c>
      <c r="H37" s="46" t="str">
        <f aca="false">IF(OR($B37="",N(設定!$D27)=0),"",IF(N(設定!$D27)=MONTH(H$24),N(設定!$C27),0))</f>
        <v/>
      </c>
      <c r="I37" s="46" t="str">
        <f aca="false">IF(OR($B37="",N(設定!$D27)=0),"",IF(N(設定!$D27)=MONTH(I$24),N(設定!$C27),0))</f>
        <v/>
      </c>
      <c r="J37" s="46" t="str">
        <f aca="false">IF(OR($B37="",N(設定!$D27)=0),"",IF(N(設定!$D27)=MONTH(J$24),N(設定!$C27),0))</f>
        <v/>
      </c>
      <c r="K37" s="46" t="str">
        <f aca="false">IF(OR($B37="",N(設定!$D27)=0),"",IF(N(設定!$D27)=MONTH(K$24),N(設定!$C27),0))</f>
        <v/>
      </c>
      <c r="L37" s="46" t="str">
        <f aca="false">IF(OR($B37="",N(設定!$D27)=0),"",IF(N(設定!$D27)=MONTH(L$24),N(設定!$C27),0))</f>
        <v/>
      </c>
      <c r="M37" s="46" t="str">
        <f aca="false">IF(OR($B37="",N(設定!$D27)=0),"",IF(N(設定!$D27)=MONTH(M$24),N(設定!$C27),0))</f>
        <v/>
      </c>
      <c r="N37" s="46" t="str">
        <f aca="false">IF(OR($B37="",N(設定!$D27)=0),"",IF(N(設定!$D27)=MONTH(N$24),N(設定!$C27),0))</f>
        <v/>
      </c>
      <c r="O37" s="47" t="str">
        <f aca="false">IF($B37="","",SUM(C37:N37))</f>
        <v/>
      </c>
    </row>
    <row r="38" customFormat="false" ht="15" hidden="false" customHeight="false" outlineLevel="0" collapsed="false">
      <c r="B38" s="5" t="str">
        <f aca="false">B19</f>
        <v/>
      </c>
      <c r="C38" s="46" t="str">
        <f aca="false">IF(OR($B38="",N(設定!$D28)=0),"",IF(N(設定!$D28)=MONTH(C$24),N(設定!$C28),0))</f>
        <v/>
      </c>
      <c r="D38" s="46" t="str">
        <f aca="false">IF(OR($B38="",N(設定!$D28)=0),"",IF(N(設定!$D28)=MONTH(D$24),N(設定!$C28),0))</f>
        <v/>
      </c>
      <c r="E38" s="46" t="str">
        <f aca="false">IF(OR($B38="",N(設定!$D28)=0),"",IF(N(設定!$D28)=MONTH(E$24),N(設定!$C28),0))</f>
        <v/>
      </c>
      <c r="F38" s="46" t="str">
        <f aca="false">IF(OR($B38="",N(設定!$D28)=0),"",IF(N(設定!$D28)=MONTH(F$24),N(設定!$C28),0))</f>
        <v/>
      </c>
      <c r="G38" s="46" t="str">
        <f aca="false">IF(OR($B38="",N(設定!$D28)=0),"",IF(N(設定!$D28)=MONTH(G$24),N(設定!$C28),0))</f>
        <v/>
      </c>
      <c r="H38" s="46" t="str">
        <f aca="false">IF(OR($B38="",N(設定!$D28)=0),"",IF(N(設定!$D28)=MONTH(H$24),N(設定!$C28),0))</f>
        <v/>
      </c>
      <c r="I38" s="46" t="str">
        <f aca="false">IF(OR($B38="",N(設定!$D28)=0),"",IF(N(設定!$D28)=MONTH(I$24),N(設定!$C28),0))</f>
        <v/>
      </c>
      <c r="J38" s="46" t="str">
        <f aca="false">IF(OR($B38="",N(設定!$D28)=0),"",IF(N(設定!$D28)=MONTH(J$24),N(設定!$C28),0))</f>
        <v/>
      </c>
      <c r="K38" s="46" t="str">
        <f aca="false">IF(OR($B38="",N(設定!$D28)=0),"",IF(N(設定!$D28)=MONTH(K$24),N(設定!$C28),0))</f>
        <v/>
      </c>
      <c r="L38" s="46" t="str">
        <f aca="false">IF(OR($B38="",N(設定!$D28)=0),"",IF(N(設定!$D28)=MONTH(L$24),N(設定!$C28),0))</f>
        <v/>
      </c>
      <c r="M38" s="46" t="str">
        <f aca="false">IF(OR($B38="",N(設定!$D28)=0),"",IF(N(設定!$D28)=MONTH(M$24),N(設定!$C28),0))</f>
        <v/>
      </c>
      <c r="N38" s="46" t="str">
        <f aca="false">IF(OR($B38="",N(設定!$D28)=0),"",IF(N(設定!$D28)=MONTH(N$24),N(設定!$C28),0))</f>
        <v/>
      </c>
      <c r="O38" s="47" t="str">
        <f aca="false">IF($B38="","",SUM(C38:N38))</f>
        <v/>
      </c>
    </row>
    <row r="39" customFormat="false" ht="15" hidden="false" customHeight="false" outlineLevel="0" collapsed="false">
      <c r="B39" s="5" t="str">
        <f aca="false">B20</f>
        <v/>
      </c>
      <c r="C39" s="46" t="str">
        <f aca="false">IF(OR($B39="",N(設定!$D29)=0),"",IF(N(設定!$D29)=MONTH(C$24),N(設定!$C29),0))</f>
        <v/>
      </c>
      <c r="D39" s="46" t="str">
        <f aca="false">IF(OR($B39="",N(設定!$D29)=0),"",IF(N(設定!$D29)=MONTH(D$24),N(設定!$C29),0))</f>
        <v/>
      </c>
      <c r="E39" s="46" t="str">
        <f aca="false">IF(OR($B39="",N(設定!$D29)=0),"",IF(N(設定!$D29)=MONTH(E$24),N(設定!$C29),0))</f>
        <v/>
      </c>
      <c r="F39" s="46" t="str">
        <f aca="false">IF(OR($B39="",N(設定!$D29)=0),"",IF(N(設定!$D29)=MONTH(F$24),N(設定!$C29),0))</f>
        <v/>
      </c>
      <c r="G39" s="46" t="str">
        <f aca="false">IF(OR($B39="",N(設定!$D29)=0),"",IF(N(設定!$D29)=MONTH(G$24),N(設定!$C29),0))</f>
        <v/>
      </c>
      <c r="H39" s="46" t="str">
        <f aca="false">IF(OR($B39="",N(設定!$D29)=0),"",IF(N(設定!$D29)=MONTH(H$24),N(設定!$C29),0))</f>
        <v/>
      </c>
      <c r="I39" s="46" t="str">
        <f aca="false">IF(OR($B39="",N(設定!$D29)=0),"",IF(N(設定!$D29)=MONTH(I$24),N(設定!$C29),0))</f>
        <v/>
      </c>
      <c r="J39" s="46" t="str">
        <f aca="false">IF(OR($B39="",N(設定!$D29)=0),"",IF(N(設定!$D29)=MONTH(J$24),N(設定!$C29),0))</f>
        <v/>
      </c>
      <c r="K39" s="46" t="str">
        <f aca="false">IF(OR($B39="",N(設定!$D29)=0),"",IF(N(設定!$D29)=MONTH(K$24),N(設定!$C29),0))</f>
        <v/>
      </c>
      <c r="L39" s="46" t="str">
        <f aca="false">IF(OR($B39="",N(設定!$D29)=0),"",IF(N(設定!$D29)=MONTH(L$24),N(設定!$C29),0))</f>
        <v/>
      </c>
      <c r="M39" s="46" t="str">
        <f aca="false">IF(OR($B39="",N(設定!$D29)=0),"",IF(N(設定!$D29)=MONTH(M$24),N(設定!$C29),0))</f>
        <v/>
      </c>
      <c r="N39" s="46" t="str">
        <f aca="false">IF(OR($B39="",N(設定!$D29)=0),"",IF(N(設定!$D29)=MONTH(N$24),N(設定!$C29),0))</f>
        <v/>
      </c>
      <c r="O39" s="47" t="str">
        <f aca="false">IF($B39="","",SUM(C39:N39))</f>
        <v/>
      </c>
    </row>
    <row r="40" customFormat="false" ht="15" hidden="false" customHeight="false" outlineLevel="0" collapsed="false">
      <c r="B40" s="20" t="s">
        <v>76</v>
      </c>
      <c r="C40" s="48" t="n">
        <f aca="false">SUM(C25:C39)</f>
        <v>0</v>
      </c>
      <c r="D40" s="48" t="n">
        <f aca="false">SUM(D25:D39)</f>
        <v>0</v>
      </c>
      <c r="E40" s="48" t="n">
        <f aca="false">SUM(E25:E39)</f>
        <v>30000</v>
      </c>
      <c r="F40" s="48" t="n">
        <f aca="false">SUM(F25:F39)</f>
        <v>30000</v>
      </c>
      <c r="G40" s="48" t="n">
        <f aca="false">SUM(G25:G39)</f>
        <v>0</v>
      </c>
      <c r="H40" s="48" t="n">
        <f aca="false">SUM(H25:H39)</f>
        <v>60000</v>
      </c>
      <c r="I40" s="48" t="n">
        <f aca="false">SUM(I25:I39)</f>
        <v>20000</v>
      </c>
      <c r="J40" s="48" t="n">
        <f aca="false">SUM(J25:J39)</f>
        <v>80000</v>
      </c>
      <c r="K40" s="48" t="n">
        <f aca="false">SUM(K25:K39)</f>
        <v>30000</v>
      </c>
      <c r="L40" s="48" t="n">
        <f aca="false">SUM(L25:L39)</f>
        <v>50000</v>
      </c>
      <c r="M40" s="48" t="n">
        <f aca="false">SUM(M25:M39)</f>
        <v>40000</v>
      </c>
      <c r="N40" s="48" t="n">
        <f aca="false">SUM(N25:N39)</f>
        <v>40000</v>
      </c>
      <c r="O40" s="48" t="n">
        <f aca="false">SUM(O25:O39)</f>
        <v>380000</v>
      </c>
    </row>
    <row r="42" customFormat="false" ht="17.15" hidden="false" customHeight="true" outlineLevel="0" collapsed="false">
      <c r="B42" s="41" t="s">
        <v>124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</row>
    <row r="43" customFormat="false" ht="15" hidden="false" customHeight="false" outlineLevel="0" collapsed="false">
      <c r="B43" s="15" t="s">
        <v>69</v>
      </c>
      <c r="C43" s="45" t="n">
        <f aca="false">C$5</f>
        <v>46023</v>
      </c>
      <c r="D43" s="45" t="n">
        <f aca="false">D$5</f>
        <v>46054</v>
      </c>
      <c r="E43" s="45" t="n">
        <f aca="false">E$5</f>
        <v>46082</v>
      </c>
      <c r="F43" s="45" t="n">
        <f aca="false">F$5</f>
        <v>46113</v>
      </c>
      <c r="G43" s="45" t="n">
        <f aca="false">G$5</f>
        <v>46143</v>
      </c>
      <c r="H43" s="45" t="n">
        <f aca="false">H$5</f>
        <v>46174</v>
      </c>
      <c r="I43" s="45" t="n">
        <f aca="false">I$5</f>
        <v>46204</v>
      </c>
      <c r="J43" s="45" t="n">
        <f aca="false">J$5</f>
        <v>46235</v>
      </c>
      <c r="K43" s="45" t="n">
        <f aca="false">K$5</f>
        <v>46266</v>
      </c>
      <c r="L43" s="45" t="n">
        <f aca="false">L$5</f>
        <v>46296</v>
      </c>
      <c r="M43" s="45" t="n">
        <f aca="false">M$5</f>
        <v>46327</v>
      </c>
      <c r="N43" s="45" t="n">
        <f aca="false">N$5</f>
        <v>46357</v>
      </c>
    </row>
    <row r="44" customFormat="false" ht="15" hidden="false" customHeight="false" outlineLevel="0" collapsed="false">
      <c r="B44" s="5" t="str">
        <f aca="false">B6</f>
        <v>帰省・旅行</v>
      </c>
      <c r="C44" s="46" t="n">
        <f aca="false">IF($B44="","",N(設定!$E15)+ROUNDUP(N(設定!$C15)/12,0)*COLUMNS($C44:C44)-SUM($C6:C6))</f>
        <v>6667</v>
      </c>
      <c r="D44" s="46" t="n">
        <f aca="false">IF($B44="","",N(設定!$E15)+ROUNDUP(N(設定!$C15)/12,0)*COLUMNS($C44:D44)-SUM($C6:D6))</f>
        <v>13334</v>
      </c>
      <c r="E44" s="46" t="n">
        <f aca="false">IF($B44="","",N(設定!$E15)+ROUNDUP(N(設定!$C15)/12,0)*COLUMNS($C44:E44)-SUM($C6:E6))</f>
        <v>20001</v>
      </c>
      <c r="F44" s="46" t="n">
        <f aca="false">IF($B44="","",N(設定!$E15)+ROUNDUP(N(設定!$C15)/12,0)*COLUMNS($C44:F44)-SUM($C6:F6))</f>
        <v>26668</v>
      </c>
      <c r="G44" s="46" t="n">
        <f aca="false">IF($B44="","",N(設定!$E15)+ROUNDUP(N(設定!$C15)/12,0)*COLUMNS($C44:G44)-SUM($C6:G6))</f>
        <v>33335</v>
      </c>
      <c r="H44" s="46" t="n">
        <f aca="false">IF($B44="","",N(設定!$E15)+ROUNDUP(N(設定!$C15)/12,0)*COLUMNS($C44:H44)-SUM($C6:H6))</f>
        <v>40002</v>
      </c>
      <c r="I44" s="46" t="n">
        <f aca="false">IF($B44="","",N(設定!$E15)+ROUNDUP(N(設定!$C15)/12,0)*COLUMNS($C44:I44)-SUM($C6:I6))</f>
        <v>46669</v>
      </c>
      <c r="J44" s="46" t="n">
        <f aca="false">IF($B44="","",N(設定!$E15)+ROUNDUP(N(設定!$C15)/12,0)*COLUMNS($C44:J44)-SUM($C6:J6))</f>
        <v>53336</v>
      </c>
      <c r="K44" s="46" t="n">
        <f aca="false">IF($B44="","",N(設定!$E15)+ROUNDUP(N(設定!$C15)/12,0)*COLUMNS($C44:K44)-SUM($C6:K6))</f>
        <v>60003</v>
      </c>
      <c r="L44" s="46" t="n">
        <f aca="false">IF($B44="","",N(設定!$E15)+ROUNDUP(N(設定!$C15)/12,0)*COLUMNS($C44:L44)-SUM($C6:L6))</f>
        <v>66670</v>
      </c>
      <c r="M44" s="46" t="n">
        <f aca="false">IF($B44="","",N(設定!$E15)+ROUNDUP(N(設定!$C15)/12,0)*COLUMNS($C44:M44)-SUM($C6:M6))</f>
        <v>73337</v>
      </c>
      <c r="N44" s="46" t="n">
        <f aca="false">IF($B44="","",N(設定!$E15)+ROUNDUP(N(設定!$C15)/12,0)*COLUMNS($C44:N44)-SUM($C6:N6))</f>
        <v>80004</v>
      </c>
    </row>
    <row r="45" customFormat="false" ht="15" hidden="false" customHeight="false" outlineLevel="0" collapsed="false">
      <c r="B45" s="5" t="str">
        <f aca="false">B7</f>
        <v>冠婚葬祭（ご祝儀・香典）</v>
      </c>
      <c r="C45" s="46" t="n">
        <f aca="false">IF($B45="","",N(設定!$E16)+ROUNDUP(N(設定!$C16)/12,0)*COLUMNS($C45:C45)-SUM($C7:C7))</f>
        <v>5000</v>
      </c>
      <c r="D45" s="46" t="n">
        <f aca="false">IF($B45="","",N(設定!$E16)+ROUNDUP(N(設定!$C16)/12,0)*COLUMNS($C45:D45)-SUM($C7:D7))</f>
        <v>10000</v>
      </c>
      <c r="E45" s="46" t="n">
        <f aca="false">IF($B45="","",N(設定!$E16)+ROUNDUP(N(設定!$C16)/12,0)*COLUMNS($C45:E45)-SUM($C7:E7))</f>
        <v>15000</v>
      </c>
      <c r="F45" s="46" t="n">
        <f aca="false">IF($B45="","",N(設定!$E16)+ROUNDUP(N(設定!$C16)/12,0)*COLUMNS($C45:F45)-SUM($C7:F7))</f>
        <v>20000</v>
      </c>
      <c r="G45" s="46" t="n">
        <f aca="false">IF($B45="","",N(設定!$E16)+ROUNDUP(N(設定!$C16)/12,0)*COLUMNS($C45:G45)-SUM($C7:G7))</f>
        <v>25000</v>
      </c>
      <c r="H45" s="46" t="n">
        <f aca="false">IF($B45="","",N(設定!$E16)+ROUNDUP(N(設定!$C16)/12,0)*COLUMNS($C45:H45)-SUM($C7:H7))</f>
        <v>30000</v>
      </c>
      <c r="I45" s="46" t="n">
        <f aca="false">IF($B45="","",N(設定!$E16)+ROUNDUP(N(設定!$C16)/12,0)*COLUMNS($C45:I45)-SUM($C7:I7))</f>
        <v>35000</v>
      </c>
      <c r="J45" s="46" t="n">
        <f aca="false">IF($B45="","",N(設定!$E16)+ROUNDUP(N(設定!$C16)/12,0)*COLUMNS($C45:J45)-SUM($C7:J7))</f>
        <v>40000</v>
      </c>
      <c r="K45" s="46" t="n">
        <f aca="false">IF($B45="","",N(設定!$E16)+ROUNDUP(N(設定!$C16)/12,0)*COLUMNS($C45:K45)-SUM($C7:K7))</f>
        <v>45000</v>
      </c>
      <c r="L45" s="46" t="n">
        <f aca="false">IF($B45="","",N(設定!$E16)+ROUNDUP(N(設定!$C16)/12,0)*COLUMNS($C45:L45)-SUM($C7:L7))</f>
        <v>50000</v>
      </c>
      <c r="M45" s="46" t="n">
        <f aca="false">IF($B45="","",N(設定!$E16)+ROUNDUP(N(設定!$C16)/12,0)*COLUMNS($C45:M45)-SUM($C7:M7))</f>
        <v>55000</v>
      </c>
      <c r="N45" s="46" t="n">
        <f aca="false">IF($B45="","",N(設定!$E16)+ROUNDUP(N(設定!$C16)/12,0)*COLUMNS($C45:N45)-SUM($C7:N7))</f>
        <v>60000</v>
      </c>
    </row>
    <row r="46" customFormat="false" ht="15" hidden="false" customHeight="false" outlineLevel="0" collapsed="false">
      <c r="B46" s="5" t="str">
        <f aca="false">B8</f>
        <v>誕生日・記念日</v>
      </c>
      <c r="C46" s="46" t="n">
        <f aca="false">IF($B46="","",N(設定!$E17)+ROUNDUP(N(設定!$C17)/12,0)*COLUMNS($C46:C46)-SUM($C8:C8))</f>
        <v>2500</v>
      </c>
      <c r="D46" s="46" t="n">
        <f aca="false">IF($B46="","",N(設定!$E17)+ROUNDUP(N(設定!$C17)/12,0)*COLUMNS($C46:D46)-SUM($C8:D8))</f>
        <v>5000</v>
      </c>
      <c r="E46" s="46" t="n">
        <f aca="false">IF($B46="","",N(設定!$E17)+ROUNDUP(N(設定!$C17)/12,0)*COLUMNS($C46:E46)-SUM($C8:E8))</f>
        <v>7500</v>
      </c>
      <c r="F46" s="46" t="n">
        <f aca="false">IF($B46="","",N(設定!$E17)+ROUNDUP(N(設定!$C17)/12,0)*COLUMNS($C46:F46)-SUM($C8:F8))</f>
        <v>10000</v>
      </c>
      <c r="G46" s="46" t="n">
        <f aca="false">IF($B46="","",N(設定!$E17)+ROUNDUP(N(設定!$C17)/12,0)*COLUMNS($C46:G46)-SUM($C8:G8))</f>
        <v>12500</v>
      </c>
      <c r="H46" s="46" t="n">
        <f aca="false">IF($B46="","",N(設定!$E17)+ROUNDUP(N(設定!$C17)/12,0)*COLUMNS($C46:H46)-SUM($C8:H8))</f>
        <v>15000</v>
      </c>
      <c r="I46" s="46" t="n">
        <f aca="false">IF($B46="","",N(設定!$E17)+ROUNDUP(N(設定!$C17)/12,0)*COLUMNS($C46:I46)-SUM($C8:I8))</f>
        <v>17500</v>
      </c>
      <c r="J46" s="46" t="n">
        <f aca="false">IF($B46="","",N(設定!$E17)+ROUNDUP(N(設定!$C17)/12,0)*COLUMNS($C46:J46)-SUM($C8:J8))</f>
        <v>20000</v>
      </c>
      <c r="K46" s="46" t="n">
        <f aca="false">IF($B46="","",N(設定!$E17)+ROUNDUP(N(設定!$C17)/12,0)*COLUMNS($C46:K46)-SUM($C8:K8))</f>
        <v>22500</v>
      </c>
      <c r="L46" s="46" t="n">
        <f aca="false">IF($B46="","",N(設定!$E17)+ROUNDUP(N(設定!$C17)/12,0)*COLUMNS($C46:L46)-SUM($C8:L8))</f>
        <v>25000</v>
      </c>
      <c r="M46" s="46" t="n">
        <f aca="false">IF($B46="","",N(設定!$E17)+ROUNDUP(N(設定!$C17)/12,0)*COLUMNS($C46:M46)-SUM($C8:M8))</f>
        <v>27500</v>
      </c>
      <c r="N46" s="46" t="n">
        <f aca="false">IF($B46="","",N(設定!$E17)+ROUNDUP(N(設定!$C17)/12,0)*COLUMNS($C46:N46)-SUM($C8:N8))</f>
        <v>30000</v>
      </c>
    </row>
    <row r="47" customFormat="false" ht="15" hidden="false" customHeight="false" outlineLevel="0" collapsed="false">
      <c r="B47" s="5" t="str">
        <f aca="false">B9</f>
        <v>クリスマス・年末年始</v>
      </c>
      <c r="C47" s="46" t="n">
        <f aca="false">IF($B47="","",N(設定!$E18)+ROUNDUP(N(設定!$C18)/12,0)*COLUMNS($C47:C47)-SUM($C9:C9))</f>
        <v>3334</v>
      </c>
      <c r="D47" s="46" t="n">
        <f aca="false">IF($B47="","",N(設定!$E18)+ROUNDUP(N(設定!$C18)/12,0)*COLUMNS($C47:D47)-SUM($C9:D9))</f>
        <v>6668</v>
      </c>
      <c r="E47" s="46" t="n">
        <f aca="false">IF($B47="","",N(設定!$E18)+ROUNDUP(N(設定!$C18)/12,0)*COLUMNS($C47:E47)-SUM($C9:E9))</f>
        <v>10002</v>
      </c>
      <c r="F47" s="46" t="n">
        <f aca="false">IF($B47="","",N(設定!$E18)+ROUNDUP(N(設定!$C18)/12,0)*COLUMNS($C47:F47)-SUM($C9:F9))</f>
        <v>13336</v>
      </c>
      <c r="G47" s="46" t="n">
        <f aca="false">IF($B47="","",N(設定!$E18)+ROUNDUP(N(設定!$C18)/12,0)*COLUMNS($C47:G47)-SUM($C9:G9))</f>
        <v>16670</v>
      </c>
      <c r="H47" s="46" t="n">
        <f aca="false">IF($B47="","",N(設定!$E18)+ROUNDUP(N(設定!$C18)/12,0)*COLUMNS($C47:H47)-SUM($C9:H9))</f>
        <v>20004</v>
      </c>
      <c r="I47" s="46" t="n">
        <f aca="false">IF($B47="","",N(設定!$E18)+ROUNDUP(N(設定!$C18)/12,0)*COLUMNS($C47:I47)-SUM($C9:I9))</f>
        <v>23338</v>
      </c>
      <c r="J47" s="46" t="n">
        <f aca="false">IF($B47="","",N(設定!$E18)+ROUNDUP(N(設定!$C18)/12,0)*COLUMNS($C47:J47)-SUM($C9:J9))</f>
        <v>26672</v>
      </c>
      <c r="K47" s="46" t="n">
        <f aca="false">IF($B47="","",N(設定!$E18)+ROUNDUP(N(設定!$C18)/12,0)*COLUMNS($C47:K47)-SUM($C9:K9))</f>
        <v>30006</v>
      </c>
      <c r="L47" s="46" t="n">
        <f aca="false">IF($B47="","",N(設定!$E18)+ROUNDUP(N(設定!$C18)/12,0)*COLUMNS($C47:L47)-SUM($C9:L9))</f>
        <v>33340</v>
      </c>
      <c r="M47" s="46" t="n">
        <f aca="false">IF($B47="","",N(設定!$E18)+ROUNDUP(N(設定!$C18)/12,0)*COLUMNS($C47:M47)-SUM($C9:M9))</f>
        <v>36674</v>
      </c>
      <c r="N47" s="46" t="n">
        <f aca="false">IF($B47="","",N(設定!$E18)+ROUNDUP(N(設定!$C18)/12,0)*COLUMNS($C47:N47)-SUM($C9:N9))</f>
        <v>40008</v>
      </c>
    </row>
    <row r="48" customFormat="false" ht="15" hidden="false" customHeight="false" outlineLevel="0" collapsed="false">
      <c r="B48" s="5" t="str">
        <f aca="false">B10</f>
        <v>お中元・お歳暮</v>
      </c>
      <c r="C48" s="46" t="n">
        <f aca="false">IF($B48="","",N(設定!$E19)+ROUNDUP(N(設定!$C19)/12,0)*COLUMNS($C48:C48)-SUM($C10:C10))</f>
        <v>1667</v>
      </c>
      <c r="D48" s="46" t="n">
        <f aca="false">IF($B48="","",N(設定!$E19)+ROUNDUP(N(設定!$C19)/12,0)*COLUMNS($C48:D48)-SUM($C10:D10))</f>
        <v>3334</v>
      </c>
      <c r="E48" s="46" t="n">
        <f aca="false">IF($B48="","",N(設定!$E19)+ROUNDUP(N(設定!$C19)/12,0)*COLUMNS($C48:E48)-SUM($C10:E10))</f>
        <v>5001</v>
      </c>
      <c r="F48" s="46" t="n">
        <f aca="false">IF($B48="","",N(設定!$E19)+ROUNDUP(N(設定!$C19)/12,0)*COLUMNS($C48:F48)-SUM($C10:F10))</f>
        <v>6668</v>
      </c>
      <c r="G48" s="46" t="n">
        <f aca="false">IF($B48="","",N(設定!$E19)+ROUNDUP(N(設定!$C19)/12,0)*COLUMNS($C48:G48)-SUM($C10:G10))</f>
        <v>8335</v>
      </c>
      <c r="H48" s="46" t="n">
        <f aca="false">IF($B48="","",N(設定!$E19)+ROUNDUP(N(設定!$C19)/12,0)*COLUMNS($C48:H48)-SUM($C10:H10))</f>
        <v>10002</v>
      </c>
      <c r="I48" s="46" t="n">
        <f aca="false">IF($B48="","",N(設定!$E19)+ROUNDUP(N(設定!$C19)/12,0)*COLUMNS($C48:I48)-SUM($C10:I10))</f>
        <v>11669</v>
      </c>
      <c r="J48" s="46" t="n">
        <f aca="false">IF($B48="","",N(設定!$E19)+ROUNDUP(N(設定!$C19)/12,0)*COLUMNS($C48:J48)-SUM($C10:J10))</f>
        <v>13336</v>
      </c>
      <c r="K48" s="46" t="n">
        <f aca="false">IF($B48="","",N(設定!$E19)+ROUNDUP(N(設定!$C19)/12,0)*COLUMNS($C48:K48)-SUM($C10:K10))</f>
        <v>15003</v>
      </c>
      <c r="L48" s="46" t="n">
        <f aca="false">IF($B48="","",N(設定!$E19)+ROUNDUP(N(設定!$C19)/12,0)*COLUMNS($C48:L48)-SUM($C10:L10))</f>
        <v>16670</v>
      </c>
      <c r="M48" s="46" t="n">
        <f aca="false">IF($B48="","",N(設定!$E19)+ROUNDUP(N(設定!$C19)/12,0)*COLUMNS($C48:M48)-SUM($C10:M10))</f>
        <v>18337</v>
      </c>
      <c r="N48" s="46" t="n">
        <f aca="false">IF($B48="","",N(設定!$E19)+ROUNDUP(N(設定!$C19)/12,0)*COLUMNS($C48:N48)-SUM($C10:N10))</f>
        <v>20004</v>
      </c>
    </row>
    <row r="49" customFormat="false" ht="15" hidden="false" customHeight="false" outlineLevel="0" collapsed="false">
      <c r="B49" s="5" t="str">
        <f aca="false">B11</f>
        <v>美容（ヘア・ネイル）</v>
      </c>
      <c r="C49" s="46" t="n">
        <f aca="false">IF($B49="","",N(設定!$E20)+ROUNDUP(N(設定!$C20)/12,0)*COLUMNS($C49:C49)-SUM($C11:C11))</f>
        <v>5000</v>
      </c>
      <c r="D49" s="46" t="n">
        <f aca="false">IF($B49="","",N(設定!$E20)+ROUNDUP(N(設定!$C20)/12,0)*COLUMNS($C49:D49)-SUM($C11:D11))</f>
        <v>10000</v>
      </c>
      <c r="E49" s="46" t="n">
        <f aca="false">IF($B49="","",N(設定!$E20)+ROUNDUP(N(設定!$C20)/12,0)*COLUMNS($C49:E49)-SUM($C11:E11))</f>
        <v>15000</v>
      </c>
      <c r="F49" s="46" t="n">
        <f aca="false">IF($B49="","",N(設定!$E20)+ROUNDUP(N(設定!$C20)/12,0)*COLUMNS($C49:F49)-SUM($C11:F11))</f>
        <v>20000</v>
      </c>
      <c r="G49" s="46" t="n">
        <f aca="false">IF($B49="","",N(設定!$E20)+ROUNDUP(N(設定!$C20)/12,0)*COLUMNS($C49:G49)-SUM($C11:G11))</f>
        <v>25000</v>
      </c>
      <c r="H49" s="46" t="n">
        <f aca="false">IF($B49="","",N(設定!$E20)+ROUNDUP(N(設定!$C20)/12,0)*COLUMNS($C49:H49)-SUM($C11:H11))</f>
        <v>30000</v>
      </c>
      <c r="I49" s="46" t="n">
        <f aca="false">IF($B49="","",N(設定!$E20)+ROUNDUP(N(設定!$C20)/12,0)*COLUMNS($C49:I49)-SUM($C11:I11))</f>
        <v>35000</v>
      </c>
      <c r="J49" s="46" t="n">
        <f aca="false">IF($B49="","",N(設定!$E20)+ROUNDUP(N(設定!$C20)/12,0)*COLUMNS($C49:J49)-SUM($C11:J11))</f>
        <v>40000</v>
      </c>
      <c r="K49" s="46" t="n">
        <f aca="false">IF($B49="","",N(設定!$E20)+ROUNDUP(N(設定!$C20)/12,0)*COLUMNS($C49:K49)-SUM($C11:K11))</f>
        <v>45000</v>
      </c>
      <c r="L49" s="46" t="n">
        <f aca="false">IF($B49="","",N(設定!$E20)+ROUNDUP(N(設定!$C20)/12,0)*COLUMNS($C49:L49)-SUM($C11:L11))</f>
        <v>50000</v>
      </c>
      <c r="M49" s="46" t="n">
        <f aca="false">IF($B49="","",N(設定!$E20)+ROUNDUP(N(設定!$C20)/12,0)*COLUMNS($C49:M49)-SUM($C11:M11))</f>
        <v>55000</v>
      </c>
      <c r="N49" s="46" t="n">
        <f aca="false">IF($B49="","",N(設定!$E20)+ROUNDUP(N(設定!$C20)/12,0)*COLUMNS($C49:N49)-SUM($C11:N11))</f>
        <v>60000</v>
      </c>
    </row>
    <row r="50" customFormat="false" ht="15" hidden="false" customHeight="false" outlineLevel="0" collapsed="false">
      <c r="B50" s="5" t="str">
        <f aca="false">B12</f>
        <v>推し活・イベント</v>
      </c>
      <c r="C50" s="46" t="n">
        <f aca="false">IF($B50="","",N(設定!$E21)+ROUNDUP(N(設定!$C21)/12,0)*COLUMNS($C50:C50)-SUM($C12:C12))</f>
        <v>4167</v>
      </c>
      <c r="D50" s="46" t="n">
        <f aca="false">IF($B50="","",N(設定!$E21)+ROUNDUP(N(設定!$C21)/12,0)*COLUMNS($C50:D50)-SUM($C12:D12))</f>
        <v>8334</v>
      </c>
      <c r="E50" s="46" t="n">
        <f aca="false">IF($B50="","",N(設定!$E21)+ROUNDUP(N(設定!$C21)/12,0)*COLUMNS($C50:E50)-SUM($C12:E12))</f>
        <v>12501</v>
      </c>
      <c r="F50" s="46" t="n">
        <f aca="false">IF($B50="","",N(設定!$E21)+ROUNDUP(N(設定!$C21)/12,0)*COLUMNS($C50:F50)-SUM($C12:F12))</f>
        <v>16668</v>
      </c>
      <c r="G50" s="46" t="n">
        <f aca="false">IF($B50="","",N(設定!$E21)+ROUNDUP(N(設定!$C21)/12,0)*COLUMNS($C50:G50)-SUM($C12:G12))</f>
        <v>20835</v>
      </c>
      <c r="H50" s="46" t="n">
        <f aca="false">IF($B50="","",N(設定!$E21)+ROUNDUP(N(設定!$C21)/12,0)*COLUMNS($C50:H50)-SUM($C12:H12))</f>
        <v>25002</v>
      </c>
      <c r="I50" s="46" t="n">
        <f aca="false">IF($B50="","",N(設定!$E21)+ROUNDUP(N(設定!$C21)/12,0)*COLUMNS($C50:I50)-SUM($C12:I12))</f>
        <v>29169</v>
      </c>
      <c r="J50" s="46" t="n">
        <f aca="false">IF($B50="","",N(設定!$E21)+ROUNDUP(N(設定!$C21)/12,0)*COLUMNS($C50:J50)-SUM($C12:J12))</f>
        <v>33336</v>
      </c>
      <c r="K50" s="46" t="n">
        <f aca="false">IF($B50="","",N(設定!$E21)+ROUNDUP(N(設定!$C21)/12,0)*COLUMNS($C50:K50)-SUM($C12:K12))</f>
        <v>37503</v>
      </c>
      <c r="L50" s="46" t="n">
        <f aca="false">IF($B50="","",N(設定!$E21)+ROUNDUP(N(設定!$C21)/12,0)*COLUMNS($C50:L50)-SUM($C12:L12))</f>
        <v>41670</v>
      </c>
      <c r="M50" s="46" t="n">
        <f aca="false">IF($B50="","",N(設定!$E21)+ROUNDUP(N(設定!$C21)/12,0)*COLUMNS($C50:M50)-SUM($C12:M12))</f>
        <v>45837</v>
      </c>
      <c r="N50" s="46" t="n">
        <f aca="false">IF($B50="","",N(設定!$E21)+ROUNDUP(N(設定!$C21)/12,0)*COLUMNS($C50:N50)-SUM($C12:N12))</f>
        <v>50004</v>
      </c>
    </row>
    <row r="51" customFormat="false" ht="15" hidden="false" customHeight="false" outlineLevel="0" collapsed="false">
      <c r="B51" s="5" t="str">
        <f aca="false">B13</f>
        <v>家電・家具の買い替え</v>
      </c>
      <c r="C51" s="46" t="n">
        <f aca="false">IF($B51="","",N(設定!$E22)+ROUNDUP(N(設定!$C22)/12,0)*COLUMNS($C51:C51)-SUM($C13:C13))</f>
        <v>3334</v>
      </c>
      <c r="D51" s="46" t="n">
        <f aca="false">IF($B51="","",N(設定!$E22)+ROUNDUP(N(設定!$C22)/12,0)*COLUMNS($C51:D51)-SUM($C13:D13))</f>
        <v>6668</v>
      </c>
      <c r="E51" s="46" t="n">
        <f aca="false">IF($B51="","",N(設定!$E22)+ROUNDUP(N(設定!$C22)/12,0)*COLUMNS($C51:E51)-SUM($C13:E13))</f>
        <v>10002</v>
      </c>
      <c r="F51" s="46" t="n">
        <f aca="false">IF($B51="","",N(設定!$E22)+ROUNDUP(N(設定!$C22)/12,0)*COLUMNS($C51:F51)-SUM($C13:F13))</f>
        <v>13336</v>
      </c>
      <c r="G51" s="46" t="n">
        <f aca="false">IF($B51="","",N(設定!$E22)+ROUNDUP(N(設定!$C22)/12,0)*COLUMNS($C51:G51)-SUM($C13:G13))</f>
        <v>16670</v>
      </c>
      <c r="H51" s="46" t="n">
        <f aca="false">IF($B51="","",N(設定!$E22)+ROUNDUP(N(設定!$C22)/12,0)*COLUMNS($C51:H51)-SUM($C13:H13))</f>
        <v>20004</v>
      </c>
      <c r="I51" s="46" t="n">
        <f aca="false">IF($B51="","",N(設定!$E22)+ROUNDUP(N(設定!$C22)/12,0)*COLUMNS($C51:I51)-SUM($C13:I13))</f>
        <v>23338</v>
      </c>
      <c r="J51" s="46" t="n">
        <f aca="false">IF($B51="","",N(設定!$E22)+ROUNDUP(N(設定!$C22)/12,0)*COLUMNS($C51:J51)-SUM($C13:J13))</f>
        <v>26672</v>
      </c>
      <c r="K51" s="46" t="n">
        <f aca="false">IF($B51="","",N(設定!$E22)+ROUNDUP(N(設定!$C22)/12,0)*COLUMNS($C51:K51)-SUM($C13:K13))</f>
        <v>30006</v>
      </c>
      <c r="L51" s="46" t="n">
        <f aca="false">IF($B51="","",N(設定!$E22)+ROUNDUP(N(設定!$C22)/12,0)*COLUMNS($C51:L51)-SUM($C13:L13))</f>
        <v>33340</v>
      </c>
      <c r="M51" s="46" t="n">
        <f aca="false">IF($B51="","",N(設定!$E22)+ROUNDUP(N(設定!$C22)/12,0)*COLUMNS($C51:M51)-SUM($C13:M13))</f>
        <v>36674</v>
      </c>
      <c r="N51" s="46" t="n">
        <f aca="false">IF($B51="","",N(設定!$E22)+ROUNDUP(N(設定!$C22)/12,0)*COLUMNS($C51:N51)-SUM($C13:N13))</f>
        <v>40008</v>
      </c>
    </row>
    <row r="52" customFormat="false" ht="15" hidden="false" customHeight="false" outlineLevel="0" collapsed="false">
      <c r="B52" s="5" t="str">
        <f aca="false">B14</f>
        <v>資格・習い事</v>
      </c>
      <c r="C52" s="46" t="n">
        <f aca="false">IF($B52="","",N(設定!$E23)+ROUNDUP(N(設定!$C23)/12,0)*COLUMNS($C52:C52)-SUM($C14:C14))</f>
        <v>2500</v>
      </c>
      <c r="D52" s="46" t="n">
        <f aca="false">IF($B52="","",N(設定!$E23)+ROUNDUP(N(設定!$C23)/12,0)*COLUMNS($C52:D52)-SUM($C14:D14))</f>
        <v>5000</v>
      </c>
      <c r="E52" s="46" t="n">
        <f aca="false">IF($B52="","",N(設定!$E23)+ROUNDUP(N(設定!$C23)/12,0)*COLUMNS($C52:E52)-SUM($C14:E14))</f>
        <v>7500</v>
      </c>
      <c r="F52" s="46" t="n">
        <f aca="false">IF($B52="","",N(設定!$E23)+ROUNDUP(N(設定!$C23)/12,0)*COLUMNS($C52:F52)-SUM($C14:F14))</f>
        <v>10000</v>
      </c>
      <c r="G52" s="46" t="n">
        <f aca="false">IF($B52="","",N(設定!$E23)+ROUNDUP(N(設定!$C23)/12,0)*COLUMNS($C52:G52)-SUM($C14:G14))</f>
        <v>12500</v>
      </c>
      <c r="H52" s="46" t="n">
        <f aca="false">IF($B52="","",N(設定!$E23)+ROUNDUP(N(設定!$C23)/12,0)*COLUMNS($C52:H52)-SUM($C14:H14))</f>
        <v>15000</v>
      </c>
      <c r="I52" s="46" t="n">
        <f aca="false">IF($B52="","",N(設定!$E23)+ROUNDUP(N(設定!$C23)/12,0)*COLUMNS($C52:I52)-SUM($C14:I14))</f>
        <v>17500</v>
      </c>
      <c r="J52" s="46" t="n">
        <f aca="false">IF($B52="","",N(設定!$E23)+ROUNDUP(N(設定!$C23)/12,0)*COLUMNS($C52:J52)-SUM($C14:J14))</f>
        <v>20000</v>
      </c>
      <c r="K52" s="46" t="n">
        <f aca="false">IF($B52="","",N(設定!$E23)+ROUNDUP(N(設定!$C23)/12,0)*COLUMNS($C52:K52)-SUM($C14:K14))</f>
        <v>22500</v>
      </c>
      <c r="L52" s="46" t="n">
        <f aca="false">IF($B52="","",N(設定!$E23)+ROUNDUP(N(設定!$C23)/12,0)*COLUMNS($C52:L52)-SUM($C14:L14))</f>
        <v>25000</v>
      </c>
      <c r="M52" s="46" t="n">
        <f aca="false">IF($B52="","",N(設定!$E23)+ROUNDUP(N(設定!$C23)/12,0)*COLUMNS($C52:M52)-SUM($C14:M14))</f>
        <v>27500</v>
      </c>
      <c r="N52" s="46" t="n">
        <f aca="false">IF($B52="","",N(設定!$E23)+ROUNDUP(N(設定!$C23)/12,0)*COLUMNS($C52:N52)-SUM($C14:N14))</f>
        <v>30000</v>
      </c>
    </row>
    <row r="53" customFormat="false" ht="15" hidden="false" customHeight="false" outlineLevel="0" collapsed="false">
      <c r="B53" s="5" t="str">
        <f aca="false">B15</f>
        <v>年払い（保険・サブスク）</v>
      </c>
      <c r="C53" s="46" t="n">
        <f aca="false">IF($B53="","",N(設定!$E24)+ROUNDUP(N(設定!$C24)/12,0)*COLUMNS($C53:C53)-SUM($C15:C15))</f>
        <v>2500</v>
      </c>
      <c r="D53" s="46" t="n">
        <f aca="false">IF($B53="","",N(設定!$E24)+ROUNDUP(N(設定!$C24)/12,0)*COLUMNS($C53:D53)-SUM($C15:D15))</f>
        <v>5000</v>
      </c>
      <c r="E53" s="46" t="n">
        <f aca="false">IF($B53="","",N(設定!$E24)+ROUNDUP(N(設定!$C24)/12,0)*COLUMNS($C53:E53)-SUM($C15:E15))</f>
        <v>7500</v>
      </c>
      <c r="F53" s="46" t="n">
        <f aca="false">IF($B53="","",N(設定!$E24)+ROUNDUP(N(設定!$C24)/12,0)*COLUMNS($C53:F53)-SUM($C15:F15))</f>
        <v>10000</v>
      </c>
      <c r="G53" s="46" t="n">
        <f aca="false">IF($B53="","",N(設定!$E24)+ROUNDUP(N(設定!$C24)/12,0)*COLUMNS($C53:G53)-SUM($C15:G15))</f>
        <v>12500</v>
      </c>
      <c r="H53" s="46" t="n">
        <f aca="false">IF($B53="","",N(設定!$E24)+ROUNDUP(N(設定!$C24)/12,0)*COLUMNS($C53:H53)-SUM($C15:H15))</f>
        <v>15000</v>
      </c>
      <c r="I53" s="46" t="n">
        <f aca="false">IF($B53="","",N(設定!$E24)+ROUNDUP(N(設定!$C24)/12,0)*COLUMNS($C53:I53)-SUM($C15:I15))</f>
        <v>17500</v>
      </c>
      <c r="J53" s="46" t="n">
        <f aca="false">IF($B53="","",N(設定!$E24)+ROUNDUP(N(設定!$C24)/12,0)*COLUMNS($C53:J53)-SUM($C15:J15))</f>
        <v>20000</v>
      </c>
      <c r="K53" s="46" t="n">
        <f aca="false">IF($B53="","",N(設定!$E24)+ROUNDUP(N(設定!$C24)/12,0)*COLUMNS($C53:K53)-SUM($C15:K15))</f>
        <v>22500</v>
      </c>
      <c r="L53" s="46" t="n">
        <f aca="false">IF($B53="","",N(設定!$E24)+ROUNDUP(N(設定!$C24)/12,0)*COLUMNS($C53:L53)-SUM($C15:L15))</f>
        <v>25000</v>
      </c>
      <c r="M53" s="46" t="n">
        <f aca="false">IF($B53="","",N(設定!$E24)+ROUNDUP(N(設定!$C24)/12,0)*COLUMNS($C53:M53)-SUM($C15:M15))</f>
        <v>27500</v>
      </c>
      <c r="N53" s="46" t="n">
        <f aca="false">IF($B53="","",N(設定!$E24)+ROUNDUP(N(設定!$C24)/12,0)*COLUMNS($C53:N53)-SUM($C15:N15))</f>
        <v>30000</v>
      </c>
    </row>
    <row r="54" customFormat="false" ht="15" hidden="false" customHeight="false" outlineLevel="0" collapsed="false">
      <c r="B54" s="5" t="str">
        <f aca="false">B16</f>
        <v>その他（予備費）</v>
      </c>
      <c r="C54" s="46" t="n">
        <f aca="false">IF($B54="","",N(設定!$E25)+ROUNDUP(N(設定!$C25)/12,0)*COLUMNS($C54:C54)-SUM($C16:C16))</f>
        <v>1667</v>
      </c>
      <c r="D54" s="46" t="n">
        <f aca="false">IF($B54="","",N(設定!$E25)+ROUNDUP(N(設定!$C25)/12,0)*COLUMNS($C54:D54)-SUM($C16:D16))</f>
        <v>3334</v>
      </c>
      <c r="E54" s="46" t="n">
        <f aca="false">IF($B54="","",N(設定!$E25)+ROUNDUP(N(設定!$C25)/12,0)*COLUMNS($C54:E54)-SUM($C16:E16))</f>
        <v>5001</v>
      </c>
      <c r="F54" s="46" t="n">
        <f aca="false">IF($B54="","",N(設定!$E25)+ROUNDUP(N(設定!$C25)/12,0)*COLUMNS($C54:F54)-SUM($C16:F16))</f>
        <v>6668</v>
      </c>
      <c r="G54" s="46" t="n">
        <f aca="false">IF($B54="","",N(設定!$E25)+ROUNDUP(N(設定!$C25)/12,0)*COLUMNS($C54:G54)-SUM($C16:G16))</f>
        <v>8335</v>
      </c>
      <c r="H54" s="46" t="n">
        <f aca="false">IF($B54="","",N(設定!$E25)+ROUNDUP(N(設定!$C25)/12,0)*COLUMNS($C54:H54)-SUM($C16:H16))</f>
        <v>10002</v>
      </c>
      <c r="I54" s="46" t="n">
        <f aca="false">IF($B54="","",N(設定!$E25)+ROUNDUP(N(設定!$C25)/12,0)*COLUMNS($C54:I54)-SUM($C16:I16))</f>
        <v>11669</v>
      </c>
      <c r="J54" s="46" t="n">
        <f aca="false">IF($B54="","",N(設定!$E25)+ROUNDUP(N(設定!$C25)/12,0)*COLUMNS($C54:J54)-SUM($C16:J16))</f>
        <v>13336</v>
      </c>
      <c r="K54" s="46" t="n">
        <f aca="false">IF($B54="","",N(設定!$E25)+ROUNDUP(N(設定!$C25)/12,0)*COLUMNS($C54:K54)-SUM($C16:K16))</f>
        <v>15003</v>
      </c>
      <c r="L54" s="46" t="n">
        <f aca="false">IF($B54="","",N(設定!$E25)+ROUNDUP(N(設定!$C25)/12,0)*COLUMNS($C54:L54)-SUM($C16:L16))</f>
        <v>16670</v>
      </c>
      <c r="M54" s="46" t="n">
        <f aca="false">IF($B54="","",N(設定!$E25)+ROUNDUP(N(設定!$C25)/12,0)*COLUMNS($C54:M54)-SUM($C16:M16))</f>
        <v>18337</v>
      </c>
      <c r="N54" s="46" t="n">
        <f aca="false">IF($B54="","",N(設定!$E25)+ROUNDUP(N(設定!$C25)/12,0)*COLUMNS($C54:N54)-SUM($C16:N16))</f>
        <v>20004</v>
      </c>
    </row>
    <row r="55" customFormat="false" ht="15" hidden="false" customHeight="false" outlineLevel="0" collapsed="false">
      <c r="B55" s="5" t="str">
        <f aca="false">B17</f>
        <v/>
      </c>
      <c r="C55" s="46" t="str">
        <f aca="false">IF($B55="","",N(設定!$E26)+ROUNDUP(N(設定!$C26)/12,0)*COLUMNS($C55:C55)-SUM($C17:C17))</f>
        <v/>
      </c>
      <c r="D55" s="46" t="str">
        <f aca="false">IF($B55="","",N(設定!$E26)+ROUNDUP(N(設定!$C26)/12,0)*COLUMNS($C55:D55)-SUM($C17:D17))</f>
        <v/>
      </c>
      <c r="E55" s="46" t="str">
        <f aca="false">IF($B55="","",N(設定!$E26)+ROUNDUP(N(設定!$C26)/12,0)*COLUMNS($C55:E55)-SUM($C17:E17))</f>
        <v/>
      </c>
      <c r="F55" s="46" t="str">
        <f aca="false">IF($B55="","",N(設定!$E26)+ROUNDUP(N(設定!$C26)/12,0)*COLUMNS($C55:F55)-SUM($C17:F17))</f>
        <v/>
      </c>
      <c r="G55" s="46" t="str">
        <f aca="false">IF($B55="","",N(設定!$E26)+ROUNDUP(N(設定!$C26)/12,0)*COLUMNS($C55:G55)-SUM($C17:G17))</f>
        <v/>
      </c>
      <c r="H55" s="46" t="str">
        <f aca="false">IF($B55="","",N(設定!$E26)+ROUNDUP(N(設定!$C26)/12,0)*COLUMNS($C55:H55)-SUM($C17:H17))</f>
        <v/>
      </c>
      <c r="I55" s="46" t="str">
        <f aca="false">IF($B55="","",N(設定!$E26)+ROUNDUP(N(設定!$C26)/12,0)*COLUMNS($C55:I55)-SUM($C17:I17))</f>
        <v/>
      </c>
      <c r="J55" s="46" t="str">
        <f aca="false">IF($B55="","",N(設定!$E26)+ROUNDUP(N(設定!$C26)/12,0)*COLUMNS($C55:J55)-SUM($C17:J17))</f>
        <v/>
      </c>
      <c r="K55" s="46" t="str">
        <f aca="false">IF($B55="","",N(設定!$E26)+ROUNDUP(N(設定!$C26)/12,0)*COLUMNS($C55:K55)-SUM($C17:K17))</f>
        <v/>
      </c>
      <c r="L55" s="46" t="str">
        <f aca="false">IF($B55="","",N(設定!$E26)+ROUNDUP(N(設定!$C26)/12,0)*COLUMNS($C55:L55)-SUM($C17:L17))</f>
        <v/>
      </c>
      <c r="M55" s="46" t="str">
        <f aca="false">IF($B55="","",N(設定!$E26)+ROUNDUP(N(設定!$C26)/12,0)*COLUMNS($C55:M55)-SUM($C17:M17))</f>
        <v/>
      </c>
      <c r="N55" s="46" t="str">
        <f aca="false">IF($B55="","",N(設定!$E26)+ROUNDUP(N(設定!$C26)/12,0)*COLUMNS($C55:N55)-SUM($C17:N17))</f>
        <v/>
      </c>
    </row>
    <row r="56" customFormat="false" ht="15" hidden="false" customHeight="false" outlineLevel="0" collapsed="false">
      <c r="B56" s="5" t="str">
        <f aca="false">B18</f>
        <v/>
      </c>
      <c r="C56" s="46" t="str">
        <f aca="false">IF($B56="","",N(設定!$E27)+ROUNDUP(N(設定!$C27)/12,0)*COLUMNS($C56:C56)-SUM($C18:C18))</f>
        <v/>
      </c>
      <c r="D56" s="46" t="str">
        <f aca="false">IF($B56="","",N(設定!$E27)+ROUNDUP(N(設定!$C27)/12,0)*COLUMNS($C56:D56)-SUM($C18:D18))</f>
        <v/>
      </c>
      <c r="E56" s="46" t="str">
        <f aca="false">IF($B56="","",N(設定!$E27)+ROUNDUP(N(設定!$C27)/12,0)*COLUMNS($C56:E56)-SUM($C18:E18))</f>
        <v/>
      </c>
      <c r="F56" s="46" t="str">
        <f aca="false">IF($B56="","",N(設定!$E27)+ROUNDUP(N(設定!$C27)/12,0)*COLUMNS($C56:F56)-SUM($C18:F18))</f>
        <v/>
      </c>
      <c r="G56" s="46" t="str">
        <f aca="false">IF($B56="","",N(設定!$E27)+ROUNDUP(N(設定!$C27)/12,0)*COLUMNS($C56:G56)-SUM($C18:G18))</f>
        <v/>
      </c>
      <c r="H56" s="46" t="str">
        <f aca="false">IF($B56="","",N(設定!$E27)+ROUNDUP(N(設定!$C27)/12,0)*COLUMNS($C56:H56)-SUM($C18:H18))</f>
        <v/>
      </c>
      <c r="I56" s="46" t="str">
        <f aca="false">IF($B56="","",N(設定!$E27)+ROUNDUP(N(設定!$C27)/12,0)*COLUMNS($C56:I56)-SUM($C18:I18))</f>
        <v/>
      </c>
      <c r="J56" s="46" t="str">
        <f aca="false">IF($B56="","",N(設定!$E27)+ROUNDUP(N(設定!$C27)/12,0)*COLUMNS($C56:J56)-SUM($C18:J18))</f>
        <v/>
      </c>
      <c r="K56" s="46" t="str">
        <f aca="false">IF($B56="","",N(設定!$E27)+ROUNDUP(N(設定!$C27)/12,0)*COLUMNS($C56:K56)-SUM($C18:K18))</f>
        <v/>
      </c>
      <c r="L56" s="46" t="str">
        <f aca="false">IF($B56="","",N(設定!$E27)+ROUNDUP(N(設定!$C27)/12,0)*COLUMNS($C56:L56)-SUM($C18:L18))</f>
        <v/>
      </c>
      <c r="M56" s="46" t="str">
        <f aca="false">IF($B56="","",N(設定!$E27)+ROUNDUP(N(設定!$C27)/12,0)*COLUMNS($C56:M56)-SUM($C18:M18))</f>
        <v/>
      </c>
      <c r="N56" s="46" t="str">
        <f aca="false">IF($B56="","",N(設定!$E27)+ROUNDUP(N(設定!$C27)/12,0)*COLUMNS($C56:N56)-SUM($C18:N18))</f>
        <v/>
      </c>
    </row>
    <row r="57" customFormat="false" ht="15" hidden="false" customHeight="false" outlineLevel="0" collapsed="false">
      <c r="B57" s="5" t="str">
        <f aca="false">B19</f>
        <v/>
      </c>
      <c r="C57" s="46" t="str">
        <f aca="false">IF($B57="","",N(設定!$E28)+ROUNDUP(N(設定!$C28)/12,0)*COLUMNS($C57:C57)-SUM($C19:C19))</f>
        <v/>
      </c>
      <c r="D57" s="46" t="str">
        <f aca="false">IF($B57="","",N(設定!$E28)+ROUNDUP(N(設定!$C28)/12,0)*COLUMNS($C57:D57)-SUM($C19:D19))</f>
        <v/>
      </c>
      <c r="E57" s="46" t="str">
        <f aca="false">IF($B57="","",N(設定!$E28)+ROUNDUP(N(設定!$C28)/12,0)*COLUMNS($C57:E57)-SUM($C19:E19))</f>
        <v/>
      </c>
      <c r="F57" s="46" t="str">
        <f aca="false">IF($B57="","",N(設定!$E28)+ROUNDUP(N(設定!$C28)/12,0)*COLUMNS($C57:F57)-SUM($C19:F19))</f>
        <v/>
      </c>
      <c r="G57" s="46" t="str">
        <f aca="false">IF($B57="","",N(設定!$E28)+ROUNDUP(N(設定!$C28)/12,0)*COLUMNS($C57:G57)-SUM($C19:G19))</f>
        <v/>
      </c>
      <c r="H57" s="46" t="str">
        <f aca="false">IF($B57="","",N(設定!$E28)+ROUNDUP(N(設定!$C28)/12,0)*COLUMNS($C57:H57)-SUM($C19:H19))</f>
        <v/>
      </c>
      <c r="I57" s="46" t="str">
        <f aca="false">IF($B57="","",N(設定!$E28)+ROUNDUP(N(設定!$C28)/12,0)*COLUMNS($C57:I57)-SUM($C19:I19))</f>
        <v/>
      </c>
      <c r="J57" s="46" t="str">
        <f aca="false">IF($B57="","",N(設定!$E28)+ROUNDUP(N(設定!$C28)/12,0)*COLUMNS($C57:J57)-SUM($C19:J19))</f>
        <v/>
      </c>
      <c r="K57" s="46" t="str">
        <f aca="false">IF($B57="","",N(設定!$E28)+ROUNDUP(N(設定!$C28)/12,0)*COLUMNS($C57:K57)-SUM($C19:K19))</f>
        <v/>
      </c>
      <c r="L57" s="46" t="str">
        <f aca="false">IF($B57="","",N(設定!$E28)+ROUNDUP(N(設定!$C28)/12,0)*COLUMNS($C57:L57)-SUM($C19:L19))</f>
        <v/>
      </c>
      <c r="M57" s="46" t="str">
        <f aca="false">IF($B57="","",N(設定!$E28)+ROUNDUP(N(設定!$C28)/12,0)*COLUMNS($C57:M57)-SUM($C19:M19))</f>
        <v/>
      </c>
      <c r="N57" s="46" t="str">
        <f aca="false">IF($B57="","",N(設定!$E28)+ROUNDUP(N(設定!$C28)/12,0)*COLUMNS($C57:N57)-SUM($C19:N19))</f>
        <v/>
      </c>
    </row>
    <row r="58" customFormat="false" ht="15" hidden="false" customHeight="false" outlineLevel="0" collapsed="false">
      <c r="B58" s="5" t="str">
        <f aca="false">B20</f>
        <v/>
      </c>
      <c r="C58" s="46" t="str">
        <f aca="false">IF($B58="","",N(設定!$E29)+ROUNDUP(N(設定!$C29)/12,0)*COLUMNS($C58:C58)-SUM($C20:C20))</f>
        <v/>
      </c>
      <c r="D58" s="46" t="str">
        <f aca="false">IF($B58="","",N(設定!$E29)+ROUNDUP(N(設定!$C29)/12,0)*COLUMNS($C58:D58)-SUM($C20:D20))</f>
        <v/>
      </c>
      <c r="E58" s="46" t="str">
        <f aca="false">IF($B58="","",N(設定!$E29)+ROUNDUP(N(設定!$C29)/12,0)*COLUMNS($C58:E58)-SUM($C20:E20))</f>
        <v/>
      </c>
      <c r="F58" s="46" t="str">
        <f aca="false">IF($B58="","",N(設定!$E29)+ROUNDUP(N(設定!$C29)/12,0)*COLUMNS($C58:F58)-SUM($C20:F20))</f>
        <v/>
      </c>
      <c r="G58" s="46" t="str">
        <f aca="false">IF($B58="","",N(設定!$E29)+ROUNDUP(N(設定!$C29)/12,0)*COLUMNS($C58:G58)-SUM($C20:G20))</f>
        <v/>
      </c>
      <c r="H58" s="46" t="str">
        <f aca="false">IF($B58="","",N(設定!$E29)+ROUNDUP(N(設定!$C29)/12,0)*COLUMNS($C58:H58)-SUM($C20:H20))</f>
        <v/>
      </c>
      <c r="I58" s="46" t="str">
        <f aca="false">IF($B58="","",N(設定!$E29)+ROUNDUP(N(設定!$C29)/12,0)*COLUMNS($C58:I58)-SUM($C20:I20))</f>
        <v/>
      </c>
      <c r="J58" s="46" t="str">
        <f aca="false">IF($B58="","",N(設定!$E29)+ROUNDUP(N(設定!$C29)/12,0)*COLUMNS($C58:J58)-SUM($C20:J20))</f>
        <v/>
      </c>
      <c r="K58" s="46" t="str">
        <f aca="false">IF($B58="","",N(設定!$E29)+ROUNDUP(N(設定!$C29)/12,0)*COLUMNS($C58:K58)-SUM($C20:K20))</f>
        <v/>
      </c>
      <c r="L58" s="46" t="str">
        <f aca="false">IF($B58="","",N(設定!$E29)+ROUNDUP(N(設定!$C29)/12,0)*COLUMNS($C58:L58)-SUM($C20:L20))</f>
        <v/>
      </c>
      <c r="M58" s="46" t="str">
        <f aca="false">IF($B58="","",N(設定!$E29)+ROUNDUP(N(設定!$C29)/12,0)*COLUMNS($C58:M58)-SUM($C20:M20))</f>
        <v/>
      </c>
      <c r="N58" s="46" t="str">
        <f aca="false">IF($B58="","",N(設定!$E29)+ROUNDUP(N(設定!$C29)/12,0)*COLUMNS($C58:N58)-SUM($C20:N20))</f>
        <v/>
      </c>
    </row>
    <row r="59" customFormat="false" ht="15" hidden="false" customHeight="false" outlineLevel="0" collapsed="false">
      <c r="B59" s="20" t="s">
        <v>76</v>
      </c>
      <c r="C59" s="48" t="n">
        <f aca="false">SUM(C44:C58)</f>
        <v>38336</v>
      </c>
      <c r="D59" s="48" t="n">
        <f aca="false">SUM(D44:D58)</f>
        <v>76672</v>
      </c>
      <c r="E59" s="48" t="n">
        <f aca="false">SUM(E44:E58)</f>
        <v>115008</v>
      </c>
      <c r="F59" s="48" t="n">
        <f aca="false">SUM(F44:F58)</f>
        <v>153344</v>
      </c>
      <c r="G59" s="48" t="n">
        <f aca="false">SUM(G44:G58)</f>
        <v>191680</v>
      </c>
      <c r="H59" s="48" t="n">
        <f aca="false">SUM(H44:H58)</f>
        <v>230016</v>
      </c>
      <c r="I59" s="48" t="n">
        <f aca="false">SUM(I44:I58)</f>
        <v>268352</v>
      </c>
      <c r="J59" s="48" t="n">
        <f aca="false">SUM(J44:J58)</f>
        <v>306688</v>
      </c>
      <c r="K59" s="48" t="n">
        <f aca="false">SUM(K44:K58)</f>
        <v>345024</v>
      </c>
      <c r="L59" s="48" t="n">
        <f aca="false">SUM(L44:L58)</f>
        <v>383360</v>
      </c>
      <c r="M59" s="48" t="n">
        <f aca="false">SUM(M44:M58)</f>
        <v>421696</v>
      </c>
      <c r="N59" s="48" t="n">
        <f aca="false">SUM(N44:N58)</f>
        <v>460032</v>
      </c>
    </row>
    <row r="60" customFormat="false" ht="15" hidden="false" customHeight="true" outlineLevel="0" collapsed="false">
      <c r="B60" s="24" t="s">
        <v>125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</sheetData>
  <sheetProtection sheet="true"/>
  <mergeCells count="6">
    <mergeCell ref="B1:O1"/>
    <mergeCell ref="B2:O2"/>
    <mergeCell ref="B4:O4"/>
    <mergeCell ref="B23:O23"/>
    <mergeCell ref="B42:O42"/>
    <mergeCell ref="B60:O60"/>
  </mergeCells>
  <conditionalFormatting sqref="C44:N59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2026-09-29T11:01:53Z</dcterms:created>
  <dc:creator>openpyxl</dc:creator>
  <dc:description/>
  <dc:language>en-US</dc:language>
  <cp:lastModifiedBy/>
  <dcterms:modified xsi:type="dcterms:W3CDTF">2026-09-29T11:01:54Z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